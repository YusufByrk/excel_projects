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filterPrivacy="1" codeName="DieseArbeitsmappe"/>
  <xr:revisionPtr revIDLastSave="0" documentId="13_ncr:1_{24264411-6749-40E0-9BB1-FD383B97ECE3}" xr6:coauthVersionLast="47" xr6:coauthVersionMax="47" xr10:uidLastSave="{00000000-0000-0000-0000-000000000000}"/>
  <bookViews>
    <workbookView xWindow="-12105" yWindow="-15870" windowWidth="25440" windowHeight="15390" firstSheet="2" activeTab="2" xr2:uid="{00000000-000D-0000-FFFF-FFFF00000000}"/>
  </bookViews>
  <sheets>
    <sheet name="Daten" sheetId="1" state="hidden" r:id="rId1"/>
    <sheet name="Formeln" sheetId="7" state="hidden" r:id="rId2"/>
    <sheet name="Willkommen" sheetId="3" r:id="rId3"/>
    <sheet name="Anbieten" sheetId="4" r:id="rId4"/>
    <sheet name="Finanzieren" sheetId="5" r:id="rId5"/>
    <sheet name="Kontaktieren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7" l="1"/>
  <c r="C3" i="7"/>
  <c r="C2" i="7"/>
  <c r="Q17" i="1"/>
  <c r="J6" i="5" s="1"/>
  <c r="M19" i="1" s="1"/>
  <c r="M16" i="1"/>
  <c r="M17" i="1" s="1"/>
  <c r="M20" i="1"/>
  <c r="B11" i="7"/>
  <c r="B10" i="7"/>
  <c r="B9" i="7"/>
  <c r="B3" i="7"/>
  <c r="B2" i="7"/>
  <c r="H8" i="7"/>
  <c r="B8" i="7"/>
  <c r="B7" i="7"/>
  <c r="B6" i="7"/>
  <c r="B5" i="7"/>
  <c r="M18" i="1" l="1"/>
  <c r="M21" i="1" s="1"/>
  <c r="F13" i="5" s="1"/>
  <c r="F2" i="7"/>
  <c r="C6" i="7" s="1"/>
  <c r="C4" i="7" l="1"/>
  <c r="C5" i="7"/>
  <c r="C7" i="7" l="1"/>
  <c r="C8" i="7"/>
  <c r="F4" i="7" l="1"/>
  <c r="C11" i="7" s="1"/>
  <c r="C10" i="7" l="1"/>
  <c r="C9" i="7"/>
  <c r="C13" i="7" l="1"/>
  <c r="L9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C2" authorId="0" shapeId="0" xr:uid="{4A7F4535-5182-4D26-9F11-1265144861EF}">
      <text>
        <r>
          <rPr>
            <b/>
            <sz val="9"/>
            <color indexed="81"/>
            <rFont val="Segoe UI"/>
            <family val="2"/>
          </rPr>
          <t>Es nimmt den vom Benutzer auf der Seite Anbieten eingegebenen Quadratmeterwert des Grundstücks und multipliziert ihn mit den auf der Seite Daten angegebenen Preisdaten. Das Ergebnis ist der Grundstückswert des Hauses.</t>
        </r>
      </text>
    </comment>
    <comment ref="C3" authorId="0" shapeId="0" xr:uid="{57978249-5C31-4897-AF51-8ABDDA123D4B}">
      <text>
        <r>
          <rPr>
            <b/>
            <sz val="9"/>
            <color indexed="81"/>
            <rFont val="Segoe UI"/>
            <family val="2"/>
          </rPr>
          <t>Sie nimmt den vom Nutzer auf der Seite Anbieten eingegebenen Quadratmeterpreis des Hauses und multipliziert ihn mit dem ermittelten m2-Preis. Daraus ergibt sich der gesamte m2-Wert des Hauses.</t>
        </r>
      </text>
    </comment>
    <comment ref="C4" authorId="0" shapeId="0" xr:uid="{80E54F45-27C3-40D2-88DB-4BCAD91B6A6C}">
      <text>
        <r>
          <rPr>
            <b/>
            <sz val="9"/>
            <color indexed="81"/>
            <rFont val="Segoe UI"/>
            <family val="2"/>
          </rPr>
          <t>Auf der Seite Anbieten wird der vom Benutzer eingegebene Baujahr-Wert vom aktuellen Datum abgezogen und die Jahresdifferenz ermittelt. Dann multiplizieren Sie diese Jahresdifferenz mit dem angegebenen Abzinsungssatz. Bestimmt den gesamten Rabattbetrag.</t>
        </r>
      </text>
    </comment>
    <comment ref="B5" authorId="0" shapeId="0" xr:uid="{D65B8B6D-064C-4D29-8EFC-54FB61B90877}">
      <text>
        <r>
          <rPr>
            <b/>
            <sz val="9"/>
            <color indexed="81"/>
            <rFont val="Segoe UI"/>
            <family val="2"/>
          </rPr>
          <t>Sie nimmt das vom Benutzer ausgewählte Kriterium und gibt den Kostenfaktor dieses Kriteriums in der angegebenen Liste zurück.</t>
        </r>
      </text>
    </comment>
    <comment ref="C5" authorId="0" shapeId="0" xr:uid="{0F5D4BD1-9316-48E7-B959-276A723F91A6}">
      <text>
        <r>
          <rPr>
            <b/>
            <sz val="9"/>
            <color indexed="81"/>
            <rFont val="Segoe UI"/>
            <family val="2"/>
          </rPr>
          <t>Auf der Seite Anbieten wird anhand des vom Benutzer angegebenen Kriteriums der Betrag der Lohnerhöhung angegeben, der dem Status des Kriteriums entsprechen soll.</t>
        </r>
      </text>
    </comment>
    <comment ref="B6" authorId="0" shapeId="0" xr:uid="{A359A107-036D-4DEE-9E01-6559575B5C22}">
      <text>
        <r>
          <rPr>
            <b/>
            <sz val="9"/>
            <color indexed="81"/>
            <rFont val="Segoe UI"/>
            <family val="2"/>
          </rPr>
          <t>Sie nimmt das vom Benutzer ausgewählte Kriterium und gibt den Kostenfaktor dieses Kriteriums in der angegebenen Liste zurück.</t>
        </r>
      </text>
    </comment>
    <comment ref="C6" authorId="0" shapeId="0" xr:uid="{5600C87E-6827-444B-9880-BAD7348D8CF9}">
      <text>
        <r>
          <rPr>
            <b/>
            <sz val="9"/>
            <color indexed="81"/>
            <rFont val="Segoe UI"/>
            <family val="2"/>
          </rPr>
          <t>Gibt die Wertsteigerung des Hauses nach dem Kostenfaktor zurück, der dem benutzerdefinierten Kriterium entspricht.</t>
        </r>
      </text>
    </comment>
    <comment ref="B7" authorId="0" shapeId="0" xr:uid="{012E50F1-812A-4FE9-A909-FA39AC50D49B}">
      <text>
        <r>
          <rPr>
            <b/>
            <sz val="9"/>
            <color indexed="81"/>
            <rFont val="Segoe UI"/>
            <family val="2"/>
          </rPr>
          <t>Sie nimmt das vom Benutzer ausgewählte Kriterium und gibt den Kostenfaktor dieses Kriteriums in der angegebenen Liste zurück.</t>
        </r>
      </text>
    </comment>
    <comment ref="C7" authorId="0" shapeId="0" xr:uid="{0386CBCD-D692-464A-B78B-9B60E1657131}">
      <text>
        <r>
          <rPr>
            <b/>
            <sz val="9"/>
            <color indexed="81"/>
            <rFont val="Segoe UI"/>
            <family val="2"/>
          </rPr>
          <t>Gibt die Änderung des Grundpreises des Hauses entsprechend dem Kostenfaktor des vom Benutzer angegebenen Haustyps zurück.</t>
        </r>
      </text>
    </comment>
    <comment ref="B8" authorId="0" shapeId="0" xr:uid="{DF30C732-1BF6-452A-9D6E-31483EA6B73B}">
      <text>
        <r>
          <rPr>
            <b/>
            <sz val="9"/>
            <color indexed="81"/>
            <rFont val="Segoe UI"/>
            <family val="2"/>
          </rPr>
          <t>Sie nimmt das vom Benutzer ausgewählte Kriterium und gibt den Kostenfaktor dieses Kriteriums in der angegebenen Liste zurück.</t>
        </r>
      </text>
    </comment>
    <comment ref="C8" authorId="0" shapeId="0" xr:uid="{29557FBB-8A20-4301-A9E8-7360A6582F2B}">
      <text>
        <r>
          <rPr>
            <b/>
            <sz val="9"/>
            <color indexed="81"/>
            <rFont val="Segoe UI"/>
            <family val="2"/>
          </rPr>
          <t>Es nimmt die vom Benutzer eingestellte Hausausstattung und gibt die Veränderung des Grundpreises des Hauses entsprechend dem Kostenfaktor an.</t>
        </r>
      </text>
    </comment>
    <comment ref="C9" authorId="0" shapeId="0" xr:uid="{E1684119-D87E-4CBA-8570-02448D735A57}">
      <text>
        <r>
          <rPr>
            <b/>
            <sz val="9"/>
            <color indexed="81"/>
            <rFont val="Segoe UI"/>
            <family val="2"/>
          </rPr>
          <t>Je nach den vom Benutzer festgelegten Kriterien wendet es den entsprechenden Kostenfaktor auf den Grundpreis des Hauses an, um den neuen Preis zu ermitteln.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C10" authorId="0" shapeId="0" xr:uid="{824FF01D-4A69-42F0-A2B7-34B65B077352}">
      <text>
        <r>
          <rPr>
            <b/>
            <sz val="9"/>
            <color indexed="81"/>
            <rFont val="Segoe UI"/>
            <family val="2"/>
          </rPr>
          <t>Je nach den vom Benutzer festgelegten Kriterien wendet es den entsprechenden Kostenfaktor auf den Grundpreis des Hauses an, um den neuen Preis zu ermitteln.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C11" authorId="0" shapeId="0" xr:uid="{9C510D78-79FE-4B6D-8B43-A730988A1D63}">
      <text>
        <r>
          <rPr>
            <b/>
            <sz val="9"/>
            <color indexed="81"/>
            <rFont val="Segoe UI"/>
            <family val="2"/>
          </rPr>
          <t>Je nach den vom Benutzer festgelegten Kriterien wendet es den entsprechenden Kostenfaktor auf den Grundpreis des Hauses an, um den neuen Preis zu ermitteln.</t>
        </r>
      </text>
    </comment>
  </commentList>
</comments>
</file>

<file path=xl/sharedStrings.xml><?xml version="1.0" encoding="utf-8"?>
<sst xmlns="http://schemas.openxmlformats.org/spreadsheetml/2006/main" count="110" uniqueCount="88">
  <si>
    <t>Bundesland</t>
  </si>
  <si>
    <t>Baden-Württemberg</t>
  </si>
  <si>
    <t>Bayern</t>
  </si>
  <si>
    <t>Berlin</t>
  </si>
  <si>
    <t>Brandenburg</t>
  </si>
  <si>
    <t>Bremen</t>
  </si>
  <si>
    <t>Hamburg</t>
  </si>
  <si>
    <t>Hessen</t>
  </si>
  <si>
    <t>Mecklenburg-Vorpommern</t>
  </si>
  <si>
    <t>Niedersachsen</t>
  </si>
  <si>
    <t>Nordrhein-Westfalen</t>
  </si>
  <si>
    <t>Rheinland-Pfalz</t>
  </si>
  <si>
    <t>Saarland</t>
  </si>
  <si>
    <t>Sachsen</t>
  </si>
  <si>
    <t>Sachsen-Anhalt</t>
  </si>
  <si>
    <t>Schleswig-Holstein</t>
  </si>
  <si>
    <t>Thüringen</t>
  </si>
  <si>
    <t>Kostenfaktor</t>
  </si>
  <si>
    <t>Stadt vs Land</t>
  </si>
  <si>
    <t>Land</t>
  </si>
  <si>
    <t>Stadt</t>
  </si>
  <si>
    <t>QM-Wohnfläche</t>
  </si>
  <si>
    <t>QM-Grundstück</t>
  </si>
  <si>
    <t>Geplant von Architekt</t>
  </si>
  <si>
    <t>Ausstattung</t>
  </si>
  <si>
    <t>Baujahr</t>
  </si>
  <si>
    <t>Denkmalschutz</t>
  </si>
  <si>
    <t>Rohbau</t>
  </si>
  <si>
    <t>Sanierungsbedarf</t>
  </si>
  <si>
    <t>Renovierungsbedarf</t>
  </si>
  <si>
    <t>Einfach</t>
  </si>
  <si>
    <t>Gehoben</t>
  </si>
  <si>
    <t>Makler</t>
  </si>
  <si>
    <t>Hausart</t>
  </si>
  <si>
    <t>Einfamilienhaus</t>
  </si>
  <si>
    <t>Doppelhaushälfte</t>
  </si>
  <si>
    <t>Mehrfamilienhaus</t>
  </si>
  <si>
    <t>Weitere Kostenfaktoren</t>
  </si>
  <si>
    <t>Preis</t>
  </si>
  <si>
    <t>pro m²</t>
  </si>
  <si>
    <t>Aufschlag in %</t>
  </si>
  <si>
    <t>Reduzierung in %</t>
  </si>
  <si>
    <t>Reduzierung in % pro Jahr</t>
  </si>
  <si>
    <t>Einheit</t>
  </si>
  <si>
    <t>In welchem Bundesland steht das Haus?</t>
  </si>
  <si>
    <t>Wie ist die Hausart?</t>
  </si>
  <si>
    <t>Wie ist die Ausstattung?</t>
  </si>
  <si>
    <t xml:space="preserve"> Ist das Haus in der Stadt oder auf dem Land?</t>
  </si>
  <si>
    <t>Nein</t>
  </si>
  <si>
    <t>Soll ein Makler das Haus verkaufen?</t>
  </si>
  <si>
    <t>Steht das Haus oder Teile davon unter Denkmalschutz?</t>
  </si>
  <si>
    <t>Handelt es sich um ein Architektenhaus?</t>
  </si>
  <si>
    <t>Ja</t>
  </si>
  <si>
    <t>Wie viel m² Grundstück?</t>
  </si>
  <si>
    <t>Wie viel m² Wohnfläche?</t>
  </si>
  <si>
    <t>Grundstück</t>
  </si>
  <si>
    <t>Wohnflache</t>
  </si>
  <si>
    <t>Anbieten</t>
  </si>
  <si>
    <t>Finanzieren</t>
  </si>
  <si>
    <t>Preisatlas</t>
  </si>
  <si>
    <t>Welches Baujahr</t>
  </si>
  <si>
    <t>Der Preis der Immobilie richtet sich nach den von Ihnen gewählten Kriterien:</t>
  </si>
  <si>
    <t>Wilkommen</t>
  </si>
  <si>
    <t>Kontaktieren</t>
  </si>
  <si>
    <t>Kosten Faktor</t>
  </si>
  <si>
    <t>Ist das Haus in der Stadt oder auf dem Land?</t>
  </si>
  <si>
    <t>Gesamt preis</t>
  </si>
  <si>
    <t>Ich will eine Immobilenfinanzierun.</t>
  </si>
  <si>
    <t>Kaufpreis</t>
  </si>
  <si>
    <t>Beleihung</t>
  </si>
  <si>
    <t>Finanzen</t>
  </si>
  <si>
    <t>Fester Sollzins p.a.</t>
  </si>
  <si>
    <t>Effektiver Jahreszins p.a.</t>
  </si>
  <si>
    <t>Monat</t>
  </si>
  <si>
    <t>Zinzen</t>
  </si>
  <si>
    <t>Zahlung</t>
  </si>
  <si>
    <t>Borç</t>
  </si>
  <si>
    <t>Peşinat</t>
  </si>
  <si>
    <t>Kredit</t>
  </si>
  <si>
    <t>Zinsen</t>
  </si>
  <si>
    <t>Dauern</t>
  </si>
  <si>
    <t>Wie viele Monate wollen Sie zahlen?</t>
  </si>
  <si>
    <t>Zinssätze</t>
  </si>
  <si>
    <t>Monatlicher Ratenbetrag:</t>
  </si>
  <si>
    <t>Möchten Sie ein Haus kaufen? 
Möchten Sie einen Kostenvoranschlag für das Haus, das Sie suchen, erhalten?</t>
  </si>
  <si>
    <t>Grund Preis</t>
  </si>
  <si>
    <t>Wählen Sie hier:</t>
  </si>
  <si>
    <t>Oder geben Sie 
ein Wert ein: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</si>
</sst>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164" formatCode="#,##0.00\ &quot;€&quot;"/>
    <numFmt numFmtId="165" formatCode="0.0%"/>
  </numFmts>
  <fonts count="2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1"/>
      <color theme="1"/>
      <name val="Arial"/>
      <family val="2"/>
    </font>
    <font>
      <b/>
      <sz val="18"/>
      <color theme="0"/>
      <name val="Calibri"/>
      <family val="2"/>
      <scheme val="minor"/>
    </font>
    <font>
      <b/>
      <sz val="16"/>
      <color rgb="FF002060"/>
      <name val="Calibri"/>
      <family val="2"/>
      <scheme val="minor"/>
    </font>
    <font>
      <b/>
      <sz val="18"/>
      <color rgb="FF002060"/>
      <name val="Calibri"/>
      <family val="2"/>
      <scheme val="minor"/>
    </font>
    <font>
      <b/>
      <sz val="14"/>
      <color rgb="FF002060"/>
      <name val="Calibri"/>
      <family val="2"/>
      <scheme val="minor"/>
    </font>
    <font>
      <b/>
      <sz val="22"/>
      <color rgb="FF00206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8" tint="-0.499984740745262"/>
      <name val="Times New Roman"/>
      <family val="1"/>
    </font>
    <font>
      <u/>
      <sz val="11"/>
      <color theme="10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u/>
      <sz val="11"/>
      <color theme="4" tint="-0.249977111117893"/>
      <name val="Calibri"/>
      <family val="2"/>
      <scheme val="minor"/>
    </font>
    <font>
      <b/>
      <sz val="16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sz val="12"/>
      <color theme="4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4"/>
      <color rgb="FF00206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8"/>
      <color rgb="FF00206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/>
      <bottom/>
      <diagonal/>
    </border>
  </borders>
  <cellStyleXfs count="3">
    <xf numFmtId="0" fontId="0" fillId="0" borderId="0"/>
    <xf numFmtId="9" fontId="9" fillId="0" borderId="0" applyFont="0" applyFill="0" applyBorder="0" applyAlignment="0" applyProtection="0"/>
    <xf numFmtId="0" fontId="13" fillId="0" borderId="0" applyNumberFormat="0" applyFill="0" applyBorder="0" applyAlignment="0" applyProtection="0"/>
  </cellStyleXfs>
  <cellXfs count="69">
    <xf numFmtId="0" fontId="0" fillId="0" borderId="0" xfId="0"/>
    <xf numFmtId="0" fontId="1" fillId="0" borderId="1" xfId="0" applyFont="1" applyBorder="1" applyAlignment="1">
      <alignment vertical="center"/>
    </xf>
    <xf numFmtId="0" fontId="1" fillId="0" borderId="2" xfId="0" applyFont="1" applyBorder="1" applyAlignment="1">
      <alignment vertical="center"/>
    </xf>
    <xf numFmtId="0" fontId="1" fillId="0" borderId="3" xfId="0" applyFont="1" applyBorder="1" applyAlignment="1">
      <alignment vertical="center"/>
    </xf>
    <xf numFmtId="0" fontId="2" fillId="0" borderId="4" xfId="0" applyFont="1" applyBorder="1"/>
    <xf numFmtId="0" fontId="1" fillId="0" borderId="5" xfId="0" applyFont="1" applyBorder="1" applyAlignment="1">
      <alignment vertical="center"/>
    </xf>
    <xf numFmtId="0" fontId="2" fillId="0" borderId="6" xfId="0" applyFont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3" borderId="0" xfId="0" applyFill="1"/>
    <xf numFmtId="0" fontId="0" fillId="0" borderId="0" xfId="0" applyAlignment="1">
      <alignment horizontal="center"/>
    </xf>
    <xf numFmtId="0" fontId="0" fillId="5" borderId="0" xfId="0" applyFill="1"/>
    <xf numFmtId="0" fontId="3" fillId="5" borderId="9" xfId="0" applyFont="1" applyFill="1" applyBorder="1" applyAlignment="1">
      <alignment horizontal="left" vertical="center"/>
    </xf>
    <xf numFmtId="0" fontId="0" fillId="5" borderId="9" xfId="0" applyFill="1" applyBorder="1" applyAlignment="1">
      <alignment vertical="center"/>
    </xf>
    <xf numFmtId="0" fontId="0" fillId="4" borderId="0" xfId="0" applyFill="1"/>
    <xf numFmtId="0" fontId="7" fillId="4" borderId="0" xfId="0" applyFont="1" applyFill="1"/>
    <xf numFmtId="0" fontId="3" fillId="5" borderId="9" xfId="0" applyFont="1" applyFill="1" applyBorder="1" applyAlignment="1">
      <alignment vertical="center"/>
    </xf>
    <xf numFmtId="0" fontId="0" fillId="6" borderId="0" xfId="0" applyFill="1"/>
    <xf numFmtId="0" fontId="14" fillId="6" borderId="0" xfId="0" applyFont="1" applyFill="1" applyAlignment="1">
      <alignment horizontal="right"/>
    </xf>
    <xf numFmtId="0" fontId="14" fillId="6" borderId="0" xfId="0" applyFont="1" applyFill="1" applyAlignment="1">
      <alignment horizontal="left"/>
    </xf>
    <xf numFmtId="9" fontId="0" fillId="0" borderId="0" xfId="0" applyNumberFormat="1"/>
    <xf numFmtId="0" fontId="0" fillId="8" borderId="0" xfId="0" applyFill="1"/>
    <xf numFmtId="0" fontId="11" fillId="8" borderId="0" xfId="0" applyFont="1" applyFill="1"/>
    <xf numFmtId="9" fontId="17" fillId="0" borderId="0" xfId="0" applyNumberFormat="1" applyFont="1"/>
    <xf numFmtId="0" fontId="17" fillId="0" borderId="0" xfId="0" applyFont="1"/>
    <xf numFmtId="10" fontId="0" fillId="0" borderId="0" xfId="0" applyNumberFormat="1"/>
    <xf numFmtId="0" fontId="10" fillId="8" borderId="0" xfId="0" applyFont="1" applyFill="1" applyAlignment="1">
      <alignment horizontal="center" vertical="top"/>
    </xf>
    <xf numFmtId="0" fontId="10" fillId="8" borderId="0" xfId="0" applyFont="1" applyFill="1"/>
    <xf numFmtId="0" fontId="10" fillId="8" borderId="0" xfId="0" applyFont="1" applyFill="1" applyAlignment="1">
      <alignment vertical="top"/>
    </xf>
    <xf numFmtId="1" fontId="0" fillId="0" borderId="0" xfId="0" applyNumberFormat="1"/>
    <xf numFmtId="8" fontId="0" fillId="0" borderId="0" xfId="0" applyNumberFormat="1"/>
    <xf numFmtId="165" fontId="0" fillId="0" borderId="0" xfId="1" applyNumberFormat="1" applyFont="1"/>
    <xf numFmtId="0" fontId="0" fillId="10" borderId="0" xfId="0" applyFill="1"/>
    <xf numFmtId="0" fontId="0" fillId="0" borderId="0" xfId="0" applyAlignment="1">
      <alignment shrinkToFit="1"/>
    </xf>
    <xf numFmtId="0" fontId="5" fillId="5" borderId="0" xfId="0" applyFont="1" applyFill="1"/>
    <xf numFmtId="0" fontId="4" fillId="2" borderId="0" xfId="0" applyFont="1" applyFill="1" applyAlignment="1">
      <alignment horizontal="center"/>
    </xf>
    <xf numFmtId="0" fontId="22" fillId="10" borderId="0" xfId="0" applyFont="1" applyFill="1" applyAlignment="1">
      <alignment horizontal="left" wrapText="1"/>
    </xf>
    <xf numFmtId="0" fontId="23" fillId="5" borderId="10" xfId="0" applyFont="1" applyFill="1" applyBorder="1" applyAlignment="1">
      <alignment horizontal="left" vertical="center"/>
    </xf>
    <xf numFmtId="0" fontId="23" fillId="5" borderId="11" xfId="0" applyFont="1" applyFill="1" applyBorder="1" applyAlignment="1">
      <alignment horizontal="left" vertical="center"/>
    </xf>
    <xf numFmtId="0" fontId="23" fillId="5" borderId="12" xfId="0" applyFont="1" applyFill="1" applyBorder="1" applyAlignment="1">
      <alignment horizontal="left" vertical="center"/>
    </xf>
    <xf numFmtId="164" fontId="8" fillId="4" borderId="0" xfId="0" applyNumberFormat="1" applyFont="1" applyFill="1" applyAlignment="1">
      <alignment horizontal="center" vertical="center"/>
    </xf>
    <xf numFmtId="0" fontId="7" fillId="4" borderId="0" xfId="0" applyFont="1" applyFill="1" applyAlignment="1">
      <alignment horizontal="right" wrapText="1"/>
    </xf>
    <xf numFmtId="0" fontId="6" fillId="4" borderId="0" xfId="0" applyFont="1" applyFill="1" applyAlignment="1">
      <alignment horizontal="center"/>
    </xf>
    <xf numFmtId="0" fontId="18" fillId="8" borderId="0" xfId="0" applyFont="1" applyFill="1" applyAlignment="1">
      <alignment horizontal="left"/>
    </xf>
    <xf numFmtId="0" fontId="19" fillId="9" borderId="0" xfId="0" applyFont="1" applyFill="1" applyAlignment="1">
      <alignment horizontal="left" wrapText="1"/>
    </xf>
    <xf numFmtId="0" fontId="0" fillId="8" borderId="0" xfId="0" applyFill="1" applyAlignment="1">
      <alignment horizontal="left"/>
    </xf>
    <xf numFmtId="8" fontId="19" fillId="9" borderId="13" xfId="0" applyNumberFormat="1" applyFont="1" applyFill="1" applyBorder="1" applyAlignment="1">
      <alignment horizontal="center" vertical="center"/>
    </xf>
    <xf numFmtId="8" fontId="19" fillId="9" borderId="0" xfId="0" applyNumberFormat="1" applyFont="1" applyFill="1" applyAlignment="1">
      <alignment horizontal="center" vertical="center"/>
    </xf>
    <xf numFmtId="0" fontId="4" fillId="7" borderId="0" xfId="0" applyFont="1" applyFill="1" applyAlignment="1">
      <alignment horizontal="center"/>
    </xf>
    <xf numFmtId="9" fontId="16" fillId="8" borderId="9" xfId="0" applyNumberFormat="1" applyFont="1" applyFill="1" applyBorder="1" applyAlignment="1">
      <alignment horizontal="center" vertical="center"/>
    </xf>
    <xf numFmtId="164" fontId="16" fillId="8" borderId="9" xfId="0" applyNumberFormat="1" applyFont="1" applyFill="1" applyBorder="1" applyAlignment="1">
      <alignment horizontal="center" vertical="center"/>
    </xf>
    <xf numFmtId="0" fontId="18" fillId="8" borderId="8" xfId="0" applyFont="1" applyFill="1" applyBorder="1" applyAlignment="1">
      <alignment horizontal="left"/>
    </xf>
    <xf numFmtId="165" fontId="16" fillId="8" borderId="9" xfId="0" applyNumberFormat="1" applyFont="1" applyFill="1" applyBorder="1" applyAlignment="1">
      <alignment horizontal="center" vertical="center"/>
    </xf>
    <xf numFmtId="0" fontId="4" fillId="4" borderId="0" xfId="0" applyFont="1" applyFill="1" applyAlignment="1">
      <alignment horizontal="center"/>
    </xf>
    <xf numFmtId="0" fontId="12" fillId="6" borderId="0" xfId="0" applyFont="1" applyFill="1" applyAlignment="1">
      <alignment horizontal="right" wrapText="1" indent="2"/>
    </xf>
    <xf numFmtId="0" fontId="14" fillId="6" borderId="0" xfId="0" applyFont="1" applyFill="1" applyAlignment="1">
      <alignment horizontal="left"/>
    </xf>
    <xf numFmtId="0" fontId="15" fillId="6" borderId="0" xfId="2" applyFont="1" applyFill="1" applyAlignment="1">
      <alignment horizontal="left"/>
    </xf>
    <xf numFmtId="0" fontId="24" fillId="5" borderId="9" xfId="0" applyFont="1" applyFill="1" applyBorder="1" applyAlignment="1">
      <alignment horizontal="center" vertical="center" shrinkToFit="1"/>
    </xf>
    <xf numFmtId="0" fontId="24" fillId="5" borderId="9" xfId="0" applyFont="1" applyFill="1" applyBorder="1" applyAlignment="1">
      <alignment horizontal="center" vertical="center"/>
    </xf>
    <xf numFmtId="0" fontId="25" fillId="5" borderId="0" xfId="0" applyFont="1" applyFill="1" applyAlignment="1">
      <alignment horizontal="left" wrapText="1"/>
    </xf>
    <xf numFmtId="0" fontId="24" fillId="5" borderId="9" xfId="0" applyFont="1" applyFill="1" applyBorder="1" applyAlignment="1">
      <alignment horizontal="center" vertical="center" shrinkToFit="1"/>
    </xf>
    <xf numFmtId="0" fontId="24" fillId="5" borderId="0" xfId="0" applyFont="1" applyFill="1"/>
  </cellXfs>
  <cellStyles count="3">
    <cellStyle name="Link" xfId="2" builtinId="8"/>
    <cellStyle name="Prozent" xfId="1" builtinId="5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croll" dx="26" fmlaLink="Anbieten!$K$4" horiz="1" inc="50" max="1000" page="50" val="200"/>
</file>

<file path=xl/ctrlProps/ctrlProp2.xml><?xml version="1.0" encoding="utf-8"?>
<formControlPr xmlns="http://schemas.microsoft.com/office/spreadsheetml/2009/9/main" objectType="Scroll" dx="26" fmlaLink="$K$5" horiz="1" inc="10" max="500" min="40" page="10" val="70"/>
</file>

<file path=xl/ctrlProps/ctrlProp3.xml><?xml version="1.0" encoding="utf-8"?>
<formControlPr xmlns="http://schemas.microsoft.com/office/spreadsheetml/2009/9/main" objectType="Scroll" dx="26" fmlaLink="$K$6" horiz="1" max="2022" min="1990" page="0" val="2017"/>
</file>

<file path=xl/ctrlProps/ctrlProp4.xml><?xml version="1.0" encoding="utf-8"?>
<formControlPr xmlns="http://schemas.microsoft.com/office/spreadsheetml/2009/9/main" objectType="Scroll" dx="26" fmlaLink="Finanzieren!$E$10" horiz="1" inc="60" max="360" min="60" page="60" val="120"/>
</file>

<file path=xl/ctrlProps/ctrlProp5.xml><?xml version="1.0" encoding="utf-8"?>
<formControlPr xmlns="http://schemas.microsoft.com/office/spreadsheetml/2009/9/main" objectType="Scroll" dx="26" fmlaLink="Daten!$P$17" horiz="1" max="9" min="1" page="0" val="2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3</xdr:row>
      <xdr:rowOff>7620</xdr:rowOff>
    </xdr:from>
    <xdr:to>
      <xdr:col>1</xdr:col>
      <xdr:colOff>0</xdr:colOff>
      <xdr:row>3</xdr:row>
      <xdr:rowOff>259080</xdr:rowOff>
    </xdr:to>
    <xdr:sp macro="[0]!geh_Anbieten" textlink="">
      <xdr:nvSpPr>
        <xdr:cNvPr id="3" name="Rechteck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5240" y="876300"/>
          <a:ext cx="1569720" cy="25146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tr-TR" sz="1100"/>
            <a:t>Anbieten</a:t>
          </a:r>
        </a:p>
      </xdr:txBody>
    </xdr:sp>
    <xdr:clientData/>
  </xdr:twoCellAnchor>
  <xdr:twoCellAnchor>
    <xdr:from>
      <xdr:col>0</xdr:col>
      <xdr:colOff>15240</xdr:colOff>
      <xdr:row>4</xdr:row>
      <xdr:rowOff>15240</xdr:rowOff>
    </xdr:from>
    <xdr:to>
      <xdr:col>1</xdr:col>
      <xdr:colOff>0</xdr:colOff>
      <xdr:row>4</xdr:row>
      <xdr:rowOff>266700</xdr:rowOff>
    </xdr:to>
    <xdr:sp macro="[0]!geh_Finanzieren" textlink="">
      <xdr:nvSpPr>
        <xdr:cNvPr id="4" name="Rechteck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5240" y="1173480"/>
          <a:ext cx="1569720" cy="25146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tr-TR" sz="1100"/>
            <a:t>Finanzieren</a:t>
          </a:r>
        </a:p>
      </xdr:txBody>
    </xdr:sp>
    <xdr:clientData/>
  </xdr:twoCellAnchor>
  <xdr:twoCellAnchor>
    <xdr:from>
      <xdr:col>0</xdr:col>
      <xdr:colOff>7620</xdr:colOff>
      <xdr:row>5</xdr:row>
      <xdr:rowOff>30480</xdr:rowOff>
    </xdr:from>
    <xdr:to>
      <xdr:col>0</xdr:col>
      <xdr:colOff>1577340</xdr:colOff>
      <xdr:row>5</xdr:row>
      <xdr:rowOff>281940</xdr:rowOff>
    </xdr:to>
    <xdr:sp macro="[0]!geh_Kontakt" textlink="">
      <xdr:nvSpPr>
        <xdr:cNvPr id="5" name="Rechteck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7620" y="1478280"/>
          <a:ext cx="1569720" cy="25146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tr-TR" sz="1100"/>
            <a:t>Kontakt</a:t>
          </a:r>
        </a:p>
      </xdr:txBody>
    </xdr:sp>
    <xdr:clientData/>
  </xdr:twoCellAnchor>
  <xdr:twoCellAnchor>
    <xdr:from>
      <xdr:col>0</xdr:col>
      <xdr:colOff>45720</xdr:colOff>
      <xdr:row>2</xdr:row>
      <xdr:rowOff>22860</xdr:rowOff>
    </xdr:from>
    <xdr:to>
      <xdr:col>1</xdr:col>
      <xdr:colOff>30480</xdr:colOff>
      <xdr:row>2</xdr:row>
      <xdr:rowOff>274320</xdr:rowOff>
    </xdr:to>
    <xdr:sp macro="[0]!geh_Wilkommen" textlink="">
      <xdr:nvSpPr>
        <xdr:cNvPr id="6" name="Rechteck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45720" y="601980"/>
          <a:ext cx="1569720" cy="251460"/>
        </a:xfrm>
        <a:prstGeom prst="rect">
          <a:avLst/>
        </a:prstGeom>
        <a:solidFill>
          <a:schemeClr val="accent5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tr-TR" sz="1100"/>
            <a:t>Wilkommen</a:t>
          </a:r>
        </a:p>
      </xdr:txBody>
    </xdr:sp>
    <xdr:clientData/>
  </xdr:twoCellAnchor>
  <xdr:twoCellAnchor editAs="oneCell">
    <xdr:from>
      <xdr:col>8</xdr:col>
      <xdr:colOff>496957</xdr:colOff>
      <xdr:row>1</xdr:row>
      <xdr:rowOff>291547</xdr:rowOff>
    </xdr:from>
    <xdr:to>
      <xdr:col>15</xdr:col>
      <xdr:colOff>318052</xdr:colOff>
      <xdr:row>14</xdr:row>
      <xdr:rowOff>190499</xdr:rowOff>
    </xdr:to>
    <xdr:pic>
      <xdr:nvPicPr>
        <xdr:cNvPr id="2" name="Grafik 1" descr="Preisverhandlung beim Hausverkauf – diese drei Beispiele sollten Sie kennen!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3287" y="583095"/>
          <a:ext cx="4923182" cy="3689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86139</xdr:colOff>
      <xdr:row>3</xdr:row>
      <xdr:rowOff>192158</xdr:rowOff>
    </xdr:from>
    <xdr:to>
      <xdr:col>7</xdr:col>
      <xdr:colOff>99391</xdr:colOff>
      <xdr:row>5</xdr:row>
      <xdr:rowOff>86140</xdr:rowOff>
    </xdr:to>
    <xdr:sp macro="" textlink="">
      <xdr:nvSpPr>
        <xdr:cNvPr id="7" name="Rechteck: abgerundete Ecken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901687" y="1066801"/>
          <a:ext cx="3988904" cy="47707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2000"/>
            <a:t>Was</a:t>
          </a:r>
          <a:r>
            <a:rPr lang="tr-TR" sz="2000" baseline="0"/>
            <a:t> ist meine Immobilie wert?</a:t>
          </a:r>
          <a:endParaRPr lang="de-DE" sz="2000"/>
        </a:p>
      </xdr:txBody>
    </xdr:sp>
    <xdr:clientData/>
  </xdr:twoCellAnchor>
  <xdr:twoCellAnchor>
    <xdr:from>
      <xdr:col>3</xdr:col>
      <xdr:colOff>106017</xdr:colOff>
      <xdr:row>7</xdr:row>
      <xdr:rowOff>6625</xdr:rowOff>
    </xdr:from>
    <xdr:to>
      <xdr:col>8</xdr:col>
      <xdr:colOff>119269</xdr:colOff>
      <xdr:row>9</xdr:row>
      <xdr:rowOff>152399</xdr:rowOff>
    </xdr:to>
    <xdr:sp macro="[0]!geh_Anbieten" textlink="">
      <xdr:nvSpPr>
        <xdr:cNvPr id="8" name="Rechteck: abgerundete Ecken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2716695" y="2047460"/>
          <a:ext cx="3988904" cy="72886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400" b="1"/>
            <a:t>Klicken Sie, um den Preis des Hauses zu erfahren, das Sie nach Ihren Kriterien finden können.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</xdr:colOff>
      <xdr:row>2</xdr:row>
      <xdr:rowOff>22860</xdr:rowOff>
    </xdr:from>
    <xdr:to>
      <xdr:col>0</xdr:col>
      <xdr:colOff>1577340</xdr:colOff>
      <xdr:row>2</xdr:row>
      <xdr:rowOff>274320</xdr:rowOff>
    </xdr:to>
    <xdr:sp macro="[0]!geh_Wilkommen" textlink="">
      <xdr:nvSpPr>
        <xdr:cNvPr id="2" name="Rechteck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620" y="601980"/>
          <a:ext cx="1569720" cy="251460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tr-TR" sz="1100"/>
            <a:t>Wilkommen</a:t>
          </a:r>
        </a:p>
      </xdr:txBody>
    </xdr:sp>
    <xdr:clientData/>
  </xdr:twoCellAnchor>
  <xdr:twoCellAnchor>
    <xdr:from>
      <xdr:col>0</xdr:col>
      <xdr:colOff>91440</xdr:colOff>
      <xdr:row>3</xdr:row>
      <xdr:rowOff>19143</xdr:rowOff>
    </xdr:from>
    <xdr:to>
      <xdr:col>1</xdr:col>
      <xdr:colOff>76200</xdr:colOff>
      <xdr:row>3</xdr:row>
      <xdr:rowOff>270603</xdr:rowOff>
    </xdr:to>
    <xdr:sp macro="[0]!geh_Anbieten" textlink="">
      <xdr:nvSpPr>
        <xdr:cNvPr id="3" name="Rechteck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91440" y="888938"/>
          <a:ext cx="1568233" cy="251460"/>
        </a:xfrm>
        <a:prstGeom prst="rect">
          <a:avLst/>
        </a:prstGeom>
        <a:solidFill>
          <a:schemeClr val="accent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tr-TR" sz="1100" b="1">
              <a:solidFill>
                <a:schemeClr val="accent5">
                  <a:lumMod val="50000"/>
                </a:schemeClr>
              </a:solidFill>
            </a:rPr>
            <a:t>Anbieten</a:t>
          </a:r>
        </a:p>
      </xdr:txBody>
    </xdr:sp>
    <xdr:clientData/>
  </xdr:twoCellAnchor>
  <xdr:twoCellAnchor>
    <xdr:from>
      <xdr:col>0</xdr:col>
      <xdr:colOff>15240</xdr:colOff>
      <xdr:row>4</xdr:row>
      <xdr:rowOff>15240</xdr:rowOff>
    </xdr:from>
    <xdr:to>
      <xdr:col>1</xdr:col>
      <xdr:colOff>0</xdr:colOff>
      <xdr:row>4</xdr:row>
      <xdr:rowOff>266700</xdr:rowOff>
    </xdr:to>
    <xdr:sp macro="[0]!geh_Finanzieren" textlink="">
      <xdr:nvSpPr>
        <xdr:cNvPr id="4" name="Rechteck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5240" y="1173480"/>
          <a:ext cx="1569720" cy="25146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tr-TR" sz="1100"/>
            <a:t>Finanzieren</a:t>
          </a:r>
        </a:p>
      </xdr:txBody>
    </xdr:sp>
    <xdr:clientData/>
  </xdr:twoCellAnchor>
  <xdr:twoCellAnchor>
    <xdr:from>
      <xdr:col>0</xdr:col>
      <xdr:colOff>7620</xdr:colOff>
      <xdr:row>5</xdr:row>
      <xdr:rowOff>19329</xdr:rowOff>
    </xdr:from>
    <xdr:to>
      <xdr:col>0</xdr:col>
      <xdr:colOff>1577340</xdr:colOff>
      <xdr:row>5</xdr:row>
      <xdr:rowOff>270789</xdr:rowOff>
    </xdr:to>
    <xdr:sp macro="[0]!geh_Kontakt" textlink="">
      <xdr:nvSpPr>
        <xdr:cNvPr id="5" name="Rechteck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7620" y="1468988"/>
          <a:ext cx="1569720" cy="25146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tr-TR" sz="1100"/>
            <a:t>Kontakt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</xdr:colOff>
          <xdr:row>3</xdr:row>
          <xdr:rowOff>22860</xdr:rowOff>
        </xdr:from>
        <xdr:to>
          <xdr:col>11</xdr:col>
          <xdr:colOff>1200150</xdr:colOff>
          <xdr:row>3</xdr:row>
          <xdr:rowOff>266700</xdr:rowOff>
        </xdr:to>
        <xdr:sp macro="" textlink="">
          <xdr:nvSpPr>
            <xdr:cNvPr id="4098" name="Scroll Bar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</xdr:colOff>
          <xdr:row>4</xdr:row>
          <xdr:rowOff>16234</xdr:rowOff>
        </xdr:from>
        <xdr:to>
          <xdr:col>11</xdr:col>
          <xdr:colOff>1200150</xdr:colOff>
          <xdr:row>4</xdr:row>
          <xdr:rowOff>282934</xdr:rowOff>
        </xdr:to>
        <xdr:sp macro="" textlink="">
          <xdr:nvSpPr>
            <xdr:cNvPr id="4099" name="Scroll Bar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</xdr:colOff>
          <xdr:row>5</xdr:row>
          <xdr:rowOff>22860</xdr:rowOff>
        </xdr:from>
        <xdr:to>
          <xdr:col>11</xdr:col>
          <xdr:colOff>1205865</xdr:colOff>
          <xdr:row>5</xdr:row>
          <xdr:rowOff>285750</xdr:rowOff>
        </xdr:to>
        <xdr:sp macro="" textlink="">
          <xdr:nvSpPr>
            <xdr:cNvPr id="4100" name="Scroll Bar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</xdr:colOff>
      <xdr:row>3</xdr:row>
      <xdr:rowOff>7620</xdr:rowOff>
    </xdr:from>
    <xdr:to>
      <xdr:col>0</xdr:col>
      <xdr:colOff>1581912</xdr:colOff>
      <xdr:row>3</xdr:row>
      <xdr:rowOff>259080</xdr:rowOff>
    </xdr:to>
    <xdr:sp macro="[0]!geh_Anbieten" textlink="">
      <xdr:nvSpPr>
        <xdr:cNvPr id="2" name="Rechteck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048" y="876300"/>
          <a:ext cx="1578864" cy="25146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tr-TR" sz="1100"/>
            <a:t>Anbieten</a:t>
          </a:r>
        </a:p>
      </xdr:txBody>
    </xdr:sp>
    <xdr:clientData/>
  </xdr:twoCellAnchor>
  <xdr:twoCellAnchor>
    <xdr:from>
      <xdr:col>0</xdr:col>
      <xdr:colOff>33528</xdr:colOff>
      <xdr:row>4</xdr:row>
      <xdr:rowOff>15240</xdr:rowOff>
    </xdr:from>
    <xdr:to>
      <xdr:col>1</xdr:col>
      <xdr:colOff>33528</xdr:colOff>
      <xdr:row>4</xdr:row>
      <xdr:rowOff>266700</xdr:rowOff>
    </xdr:to>
    <xdr:sp macro="[0]!geh_Finanzieren" textlink="">
      <xdr:nvSpPr>
        <xdr:cNvPr id="3" name="Rechteck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33528" y="1181431"/>
          <a:ext cx="1583635" cy="251460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tr-TR" sz="1100"/>
            <a:t>Finanzieren</a:t>
          </a:r>
        </a:p>
      </xdr:txBody>
    </xdr:sp>
    <xdr:clientData/>
  </xdr:twoCellAnchor>
  <xdr:twoCellAnchor>
    <xdr:from>
      <xdr:col>0</xdr:col>
      <xdr:colOff>7620</xdr:colOff>
      <xdr:row>5</xdr:row>
      <xdr:rowOff>30480</xdr:rowOff>
    </xdr:from>
    <xdr:to>
      <xdr:col>0</xdr:col>
      <xdr:colOff>1577340</xdr:colOff>
      <xdr:row>5</xdr:row>
      <xdr:rowOff>281940</xdr:rowOff>
    </xdr:to>
    <xdr:sp macro="[0]!geh_Kontakt" textlink="">
      <xdr:nvSpPr>
        <xdr:cNvPr id="4" name="Rechteck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7620" y="1478280"/>
          <a:ext cx="1569720" cy="25146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tr-TR" sz="1100"/>
            <a:t>Kontakt</a:t>
          </a:r>
        </a:p>
      </xdr:txBody>
    </xdr:sp>
    <xdr:clientData/>
  </xdr:twoCellAnchor>
  <xdr:twoCellAnchor>
    <xdr:from>
      <xdr:col>0</xdr:col>
      <xdr:colOff>12192</xdr:colOff>
      <xdr:row>2</xdr:row>
      <xdr:rowOff>22860</xdr:rowOff>
    </xdr:from>
    <xdr:to>
      <xdr:col>0</xdr:col>
      <xdr:colOff>1581912</xdr:colOff>
      <xdr:row>2</xdr:row>
      <xdr:rowOff>274320</xdr:rowOff>
    </xdr:to>
    <xdr:sp macro="[0]!geh_Wilkommen" textlink="">
      <xdr:nvSpPr>
        <xdr:cNvPr id="5" name="Rechteck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2192" y="601980"/>
          <a:ext cx="1569720" cy="25146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tr-TR" sz="1100"/>
            <a:t>Wilkommen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7</xdr:row>
          <xdr:rowOff>22860</xdr:rowOff>
        </xdr:from>
        <xdr:to>
          <xdr:col>8</xdr:col>
          <xdr:colOff>19050</xdr:colOff>
          <xdr:row>8</xdr:row>
          <xdr:rowOff>38100</xdr:rowOff>
        </xdr:to>
        <xdr:sp macro="" textlink="">
          <xdr:nvSpPr>
            <xdr:cNvPr id="5122" name="Scroll Bar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</xdr:colOff>
          <xdr:row>6</xdr:row>
          <xdr:rowOff>289560</xdr:rowOff>
        </xdr:from>
        <xdr:to>
          <xdr:col>11</xdr:col>
          <xdr:colOff>38100</xdr:colOff>
          <xdr:row>8</xdr:row>
          <xdr:rowOff>19050</xdr:rowOff>
        </xdr:to>
        <xdr:sp macro="" textlink="">
          <xdr:nvSpPr>
            <xdr:cNvPr id="5125" name="Scroll Bar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</xdr:colOff>
      <xdr:row>3</xdr:row>
      <xdr:rowOff>7620</xdr:rowOff>
    </xdr:from>
    <xdr:to>
      <xdr:col>0</xdr:col>
      <xdr:colOff>1581912</xdr:colOff>
      <xdr:row>3</xdr:row>
      <xdr:rowOff>259080</xdr:rowOff>
    </xdr:to>
    <xdr:sp macro="[0]!geh_Anbieten" textlink="">
      <xdr:nvSpPr>
        <xdr:cNvPr id="2" name="Rechteck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48" y="876300"/>
          <a:ext cx="1578864" cy="25146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tr-TR" sz="1100"/>
            <a:t>Anbieten</a:t>
          </a:r>
        </a:p>
      </xdr:txBody>
    </xdr:sp>
    <xdr:clientData/>
  </xdr:twoCellAnchor>
  <xdr:twoCellAnchor>
    <xdr:from>
      <xdr:col>0</xdr:col>
      <xdr:colOff>398</xdr:colOff>
      <xdr:row>4</xdr:row>
      <xdr:rowOff>15240</xdr:rowOff>
    </xdr:from>
    <xdr:to>
      <xdr:col>1</xdr:col>
      <xdr:colOff>398</xdr:colOff>
      <xdr:row>4</xdr:row>
      <xdr:rowOff>266700</xdr:rowOff>
    </xdr:to>
    <xdr:sp macro="[0]!geh_Finanzieren" textlink="">
      <xdr:nvSpPr>
        <xdr:cNvPr id="3" name="Rechteck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398" y="1181431"/>
          <a:ext cx="1583635" cy="25146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tr-TR" sz="1100">
              <a:solidFill>
                <a:schemeClr val="bg1"/>
              </a:solidFill>
            </a:rPr>
            <a:t>Finanzieren</a:t>
          </a:r>
        </a:p>
      </xdr:txBody>
    </xdr:sp>
    <xdr:clientData/>
  </xdr:twoCellAnchor>
  <xdr:twoCellAnchor>
    <xdr:from>
      <xdr:col>0</xdr:col>
      <xdr:colOff>73880</xdr:colOff>
      <xdr:row>5</xdr:row>
      <xdr:rowOff>30480</xdr:rowOff>
    </xdr:from>
    <xdr:to>
      <xdr:col>1</xdr:col>
      <xdr:colOff>59965</xdr:colOff>
      <xdr:row>5</xdr:row>
      <xdr:rowOff>281940</xdr:rowOff>
    </xdr:to>
    <xdr:sp macro="[0]!geh_Kontakt" textlink="">
      <xdr:nvSpPr>
        <xdr:cNvPr id="4" name="Rechteck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73880" y="1488219"/>
          <a:ext cx="1569720" cy="251460"/>
        </a:xfrm>
        <a:prstGeom prst="rect">
          <a:avLst/>
        </a:prstGeom>
        <a:solidFill>
          <a:schemeClr val="accent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tr-TR" sz="1100"/>
            <a:t>Kontakt</a:t>
          </a:r>
        </a:p>
      </xdr:txBody>
    </xdr:sp>
    <xdr:clientData/>
  </xdr:twoCellAnchor>
  <xdr:twoCellAnchor>
    <xdr:from>
      <xdr:col>0</xdr:col>
      <xdr:colOff>12192</xdr:colOff>
      <xdr:row>2</xdr:row>
      <xdr:rowOff>22860</xdr:rowOff>
    </xdr:from>
    <xdr:to>
      <xdr:col>0</xdr:col>
      <xdr:colOff>1581912</xdr:colOff>
      <xdr:row>2</xdr:row>
      <xdr:rowOff>274320</xdr:rowOff>
    </xdr:to>
    <xdr:sp macro="[0]!geh_Wilkommen" textlink="">
      <xdr:nvSpPr>
        <xdr:cNvPr id="5" name="Rechteck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2192" y="601980"/>
          <a:ext cx="1569720" cy="25146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tr-TR" sz="1100"/>
            <a:t>Wilkommen</a:t>
          </a:r>
        </a:p>
      </xdr:txBody>
    </xdr:sp>
    <xdr:clientData/>
  </xdr:twoCellAnchor>
  <xdr:twoCellAnchor>
    <xdr:from>
      <xdr:col>2</xdr:col>
      <xdr:colOff>72887</xdr:colOff>
      <xdr:row>4</xdr:row>
      <xdr:rowOff>1</xdr:rowOff>
    </xdr:from>
    <xdr:to>
      <xdr:col>6</xdr:col>
      <xdr:colOff>132521</xdr:colOff>
      <xdr:row>7</xdr:row>
      <xdr:rowOff>159026</xdr:rowOff>
    </xdr:to>
    <xdr:sp macro="" textlink="">
      <xdr:nvSpPr>
        <xdr:cNvPr id="6" name="Rechteck: abgerundete Ecken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888435" y="1166192"/>
          <a:ext cx="3240156" cy="1033669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de-DE" sz="1600"/>
            <a:t>Bei Fragen können Sie sich an unser fachkundiges Beratungsteam wenden:</a:t>
          </a:r>
        </a:p>
      </xdr:txBody>
    </xdr:sp>
    <xdr:clientData/>
  </xdr:twoCellAnchor>
  <xdr:twoCellAnchor>
    <xdr:from>
      <xdr:col>6</xdr:col>
      <xdr:colOff>304800</xdr:colOff>
      <xdr:row>4</xdr:row>
      <xdr:rowOff>178905</xdr:rowOff>
    </xdr:from>
    <xdr:to>
      <xdr:col>10</xdr:col>
      <xdr:colOff>516835</xdr:colOff>
      <xdr:row>7</xdr:row>
      <xdr:rowOff>152400</xdr:rowOff>
    </xdr:to>
    <xdr:sp macro="" textlink="">
      <xdr:nvSpPr>
        <xdr:cNvPr id="7" name="Rechteck: abgerundete Ecken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5300870" y="1345096"/>
          <a:ext cx="3392556" cy="848139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/>
            <a:t>Tel	: 0176 712 157 68 </a:t>
          </a:r>
        </a:p>
        <a:p>
          <a:pPr algn="l"/>
          <a:r>
            <a:rPr lang="tr-TR" sz="1100"/>
            <a:t>Email        	: ykb.immobilien@data-craft.de</a:t>
          </a:r>
        </a:p>
        <a:p>
          <a:pPr algn="l"/>
          <a:r>
            <a:rPr lang="tr-TR" sz="1100"/>
            <a:t>Anschrift  	: München</a:t>
          </a:r>
          <a:endParaRPr lang="de-DE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/>
  <dimension ref="B3:S21"/>
  <sheetViews>
    <sheetView zoomScale="80" zoomScaleNormal="80" workbookViewId="0">
      <selection activeCell="M21" sqref="M21"/>
    </sheetView>
  </sheetViews>
  <sheetFormatPr baseColWidth="10" defaultColWidth="8.88671875" defaultRowHeight="14.4" x14ac:dyDescent="0.3"/>
  <cols>
    <col min="2" max="2" width="22.6640625" bestFit="1" customWidth="1"/>
    <col min="3" max="3" width="11.88671875" bestFit="1" customWidth="1"/>
    <col min="5" max="5" width="20.44140625" bestFit="1" customWidth="1"/>
    <col min="6" max="6" width="13.21875" bestFit="1" customWidth="1"/>
    <col min="8" max="8" width="24.109375" bestFit="1" customWidth="1"/>
    <col min="9" max="9" width="5.77734375" bestFit="1" customWidth="1"/>
    <col min="10" max="10" width="25.77734375" bestFit="1" customWidth="1"/>
    <col min="12" max="12" width="22.44140625" bestFit="1" customWidth="1"/>
    <col min="13" max="13" width="14.88671875" customWidth="1"/>
    <col min="21" max="21" width="10.109375" bestFit="1" customWidth="1"/>
  </cols>
  <sheetData>
    <row r="3" spans="2:19" x14ac:dyDescent="0.3">
      <c r="B3" s="1" t="s">
        <v>0</v>
      </c>
      <c r="C3" s="2" t="s">
        <v>17</v>
      </c>
      <c r="E3" s="7" t="s">
        <v>18</v>
      </c>
      <c r="F3" s="8" t="s">
        <v>17</v>
      </c>
      <c r="H3" s="7" t="s">
        <v>37</v>
      </c>
      <c r="I3" s="13" t="s">
        <v>38</v>
      </c>
      <c r="J3" s="8" t="s">
        <v>43</v>
      </c>
      <c r="K3">
        <v>0</v>
      </c>
      <c r="R3" t="s">
        <v>76</v>
      </c>
    </row>
    <row r="4" spans="2:19" x14ac:dyDescent="0.3">
      <c r="B4" s="3" t="s">
        <v>1</v>
      </c>
      <c r="C4" s="4">
        <v>1.5</v>
      </c>
      <c r="E4" s="9" t="s">
        <v>19</v>
      </c>
      <c r="F4" s="10">
        <v>1</v>
      </c>
      <c r="H4" s="9" t="s">
        <v>22</v>
      </c>
      <c r="I4">
        <v>160</v>
      </c>
      <c r="J4" s="10" t="s">
        <v>39</v>
      </c>
      <c r="S4" s="32">
        <v>1.2E-2</v>
      </c>
    </row>
    <row r="5" spans="2:19" x14ac:dyDescent="0.3">
      <c r="B5" s="3" t="s">
        <v>2</v>
      </c>
      <c r="C5" s="4">
        <v>1.7</v>
      </c>
      <c r="E5" s="11" t="s">
        <v>20</v>
      </c>
      <c r="F5" s="12">
        <v>2</v>
      </c>
      <c r="H5" s="9" t="s">
        <v>21</v>
      </c>
      <c r="I5">
        <v>2500</v>
      </c>
      <c r="J5" s="10" t="s">
        <v>39</v>
      </c>
    </row>
    <row r="6" spans="2:19" x14ac:dyDescent="0.3">
      <c r="B6" s="3" t="s">
        <v>3</v>
      </c>
      <c r="C6" s="4">
        <v>2.1</v>
      </c>
      <c r="H6" s="9" t="s">
        <v>23</v>
      </c>
      <c r="I6">
        <v>20</v>
      </c>
      <c r="J6" s="10" t="s">
        <v>40</v>
      </c>
    </row>
    <row r="7" spans="2:19" x14ac:dyDescent="0.3">
      <c r="B7" s="3" t="s">
        <v>4</v>
      </c>
      <c r="C7" s="4">
        <v>1.1000000000000001</v>
      </c>
      <c r="E7" s="7" t="s">
        <v>24</v>
      </c>
      <c r="F7" s="8" t="s">
        <v>17</v>
      </c>
      <c r="H7" s="9" t="s">
        <v>32</v>
      </c>
      <c r="I7">
        <v>20</v>
      </c>
      <c r="J7" s="10" t="s">
        <v>40</v>
      </c>
    </row>
    <row r="8" spans="2:19" x14ac:dyDescent="0.3">
      <c r="B8" s="3" t="s">
        <v>5</v>
      </c>
      <c r="C8" s="4">
        <v>1.2</v>
      </c>
      <c r="E8" s="9" t="s">
        <v>27</v>
      </c>
      <c r="F8" s="10">
        <v>0.5</v>
      </c>
      <c r="H8" s="9" t="s">
        <v>26</v>
      </c>
      <c r="I8">
        <v>25</v>
      </c>
      <c r="J8" s="10" t="s">
        <v>41</v>
      </c>
    </row>
    <row r="9" spans="2:19" x14ac:dyDescent="0.3">
      <c r="B9" s="3" t="s">
        <v>6</v>
      </c>
      <c r="C9" s="4">
        <v>2.5</v>
      </c>
      <c r="E9" s="9" t="s">
        <v>28</v>
      </c>
      <c r="F9" s="10">
        <v>0.8</v>
      </c>
      <c r="H9" s="11" t="s">
        <v>25</v>
      </c>
      <c r="I9" s="14">
        <v>0.1</v>
      </c>
      <c r="J9" s="12" t="s">
        <v>42</v>
      </c>
    </row>
    <row r="10" spans="2:19" x14ac:dyDescent="0.3">
      <c r="B10" s="3" t="s">
        <v>7</v>
      </c>
      <c r="C10" s="4">
        <v>1.3</v>
      </c>
      <c r="E10" s="9" t="s">
        <v>29</v>
      </c>
      <c r="F10" s="10">
        <v>0.9</v>
      </c>
    </row>
    <row r="11" spans="2:19" x14ac:dyDescent="0.3">
      <c r="B11" s="3" t="s">
        <v>8</v>
      </c>
      <c r="C11" s="4">
        <v>0.9</v>
      </c>
      <c r="E11" s="9" t="s">
        <v>30</v>
      </c>
      <c r="F11" s="10">
        <v>1</v>
      </c>
      <c r="M11">
        <v>10</v>
      </c>
      <c r="N11">
        <v>15</v>
      </c>
      <c r="O11">
        <v>20</v>
      </c>
      <c r="P11">
        <v>25</v>
      </c>
      <c r="Q11">
        <v>35</v>
      </c>
    </row>
    <row r="12" spans="2:19" x14ac:dyDescent="0.3">
      <c r="B12" s="3" t="s">
        <v>9</v>
      </c>
      <c r="C12" s="4">
        <v>1</v>
      </c>
      <c r="E12" s="11" t="s">
        <v>31</v>
      </c>
      <c r="F12" s="12">
        <v>2</v>
      </c>
      <c r="L12" t="s">
        <v>71</v>
      </c>
      <c r="M12" s="31">
        <v>3.45</v>
      </c>
      <c r="N12" s="31">
        <v>3.62</v>
      </c>
      <c r="O12" s="31">
        <v>3.76</v>
      </c>
      <c r="P12" s="31">
        <v>3.82</v>
      </c>
      <c r="Q12" s="31">
        <v>3.89</v>
      </c>
    </row>
    <row r="13" spans="2:19" x14ac:dyDescent="0.3">
      <c r="B13" s="3" t="s">
        <v>10</v>
      </c>
      <c r="C13" s="4">
        <v>1.1000000000000001</v>
      </c>
      <c r="H13" s="15" t="s">
        <v>52</v>
      </c>
      <c r="L13" t="s">
        <v>72</v>
      </c>
      <c r="M13" s="31">
        <v>3.51</v>
      </c>
      <c r="N13" s="31">
        <v>3.68</v>
      </c>
      <c r="O13" s="31">
        <v>3.85</v>
      </c>
      <c r="P13" s="31">
        <v>3.91</v>
      </c>
      <c r="Q13" s="31">
        <v>3.98</v>
      </c>
    </row>
    <row r="14" spans="2:19" x14ac:dyDescent="0.3">
      <c r="B14" s="3" t="s">
        <v>11</v>
      </c>
      <c r="C14" s="4">
        <v>1</v>
      </c>
      <c r="E14" s="7" t="s">
        <v>33</v>
      </c>
      <c r="F14" s="8" t="s">
        <v>17</v>
      </c>
      <c r="H14" s="15" t="s">
        <v>48</v>
      </c>
    </row>
    <row r="15" spans="2:19" x14ac:dyDescent="0.3">
      <c r="B15" s="3" t="s">
        <v>12</v>
      </c>
      <c r="C15" s="4">
        <v>0.7</v>
      </c>
      <c r="E15" s="9" t="s">
        <v>34</v>
      </c>
      <c r="F15" s="10">
        <v>1</v>
      </c>
      <c r="J15" s="17" t="s">
        <v>70</v>
      </c>
    </row>
    <row r="16" spans="2:19" x14ac:dyDescent="0.3">
      <c r="B16" s="3" t="s">
        <v>13</v>
      </c>
      <c r="C16" s="4">
        <v>0.7</v>
      </c>
      <c r="E16" s="9" t="s">
        <v>35</v>
      </c>
      <c r="F16" s="10">
        <v>0.8</v>
      </c>
      <c r="J16" s="30">
        <v>0.5</v>
      </c>
      <c r="L16" s="36" t="s">
        <v>38</v>
      </c>
      <c r="M16">
        <f>Finanzieren!D6</f>
        <v>500000</v>
      </c>
    </row>
    <row r="17" spans="2:17" x14ac:dyDescent="0.3">
      <c r="B17" s="3" t="s">
        <v>14</v>
      </c>
      <c r="C17" s="4">
        <v>0.6</v>
      </c>
      <c r="E17" s="11" t="s">
        <v>36</v>
      </c>
      <c r="F17" s="12">
        <v>0.7</v>
      </c>
      <c r="H17" t="s">
        <v>55</v>
      </c>
      <c r="J17" s="30">
        <v>0.6</v>
      </c>
      <c r="L17" t="s">
        <v>77</v>
      </c>
      <c r="M17">
        <f>M16-M16*Finanzieren!G6</f>
        <v>250000</v>
      </c>
      <c r="P17">
        <v>2</v>
      </c>
      <c r="Q17" s="38">
        <f>P17*0.005</f>
        <v>0.01</v>
      </c>
    </row>
    <row r="18" spans="2:17" x14ac:dyDescent="0.3">
      <c r="B18" s="3" t="s">
        <v>15</v>
      </c>
      <c r="C18" s="4">
        <v>1.4</v>
      </c>
      <c r="H18" t="s">
        <v>56</v>
      </c>
      <c r="J18" s="27">
        <v>0.7</v>
      </c>
      <c r="L18" t="s">
        <v>78</v>
      </c>
      <c r="M18">
        <f>M16-M17</f>
        <v>250000</v>
      </c>
    </row>
    <row r="19" spans="2:17" x14ac:dyDescent="0.3">
      <c r="B19" s="5" t="s">
        <v>16</v>
      </c>
      <c r="C19" s="6">
        <v>0.6</v>
      </c>
      <c r="J19" s="27">
        <v>0.8</v>
      </c>
      <c r="L19" t="s">
        <v>79</v>
      </c>
      <c r="M19" s="32">
        <f>Finanzieren!J6</f>
        <v>0.01</v>
      </c>
    </row>
    <row r="20" spans="2:17" x14ac:dyDescent="0.3">
      <c r="J20" s="27">
        <v>0.9</v>
      </c>
      <c r="L20" t="s">
        <v>80</v>
      </c>
      <c r="M20">
        <f>Finanzieren!E10</f>
        <v>120</v>
      </c>
    </row>
    <row r="21" spans="2:17" x14ac:dyDescent="0.3">
      <c r="J21" s="27">
        <v>1</v>
      </c>
      <c r="L21" t="s">
        <v>75</v>
      </c>
      <c r="M21" s="37">
        <f>PMT(M19,M20,M18,0,0)</f>
        <v>-3586.7737100646846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1224D-32EC-4C27-94D8-3AB7CD3893CA}">
  <sheetPr codeName="Tabelle3"/>
  <dimension ref="A1:H13"/>
  <sheetViews>
    <sheetView zoomScale="145" zoomScaleNormal="145" workbookViewId="0">
      <selection activeCell="C4" sqref="C4"/>
    </sheetView>
  </sheetViews>
  <sheetFormatPr baseColWidth="10" defaultRowHeight="14.4" x14ac:dyDescent="0.3"/>
  <cols>
    <col min="1" max="1" width="51.21875" bestFit="1" customWidth="1"/>
    <col min="2" max="2" width="14.88671875" style="17" customWidth="1"/>
    <col min="3" max="3" width="12" style="17" bestFit="1" customWidth="1"/>
    <col min="4" max="4" width="12" style="17" customWidth="1"/>
    <col min="5" max="5" width="14.5546875" customWidth="1"/>
  </cols>
  <sheetData>
    <row r="1" spans="1:8" x14ac:dyDescent="0.3">
      <c r="B1" s="17" t="s">
        <v>64</v>
      </c>
    </row>
    <row r="2" spans="1:8" x14ac:dyDescent="0.3">
      <c r="A2" s="20" t="s">
        <v>53</v>
      </c>
      <c r="B2" s="17">
        <f>Daten!I4</f>
        <v>160</v>
      </c>
      <c r="C2" s="17">
        <f>IF(Anbieten!M4&gt;0,Anbieten!M4*Formeln!B2,Anbieten!K4*Daten!I4)</f>
        <v>32000</v>
      </c>
      <c r="E2" s="40"/>
      <c r="F2" s="21">
        <f>SUM(C2:C3)</f>
        <v>207000</v>
      </c>
      <c r="G2" t="s">
        <v>85</v>
      </c>
    </row>
    <row r="3" spans="1:8" x14ac:dyDescent="0.3">
      <c r="A3" s="20" t="s">
        <v>54</v>
      </c>
      <c r="B3" s="17">
        <f>Daten!I5</f>
        <v>2500</v>
      </c>
      <c r="C3" s="17">
        <f>IF(Anbieten!M5&gt;0,Anbieten!M5*Formeln!B3,Anbieten!K5*Daten!I5)</f>
        <v>175000</v>
      </c>
    </row>
    <row r="4" spans="1:8" x14ac:dyDescent="0.3">
      <c r="A4" s="23" t="s">
        <v>60</v>
      </c>
      <c r="B4" s="17">
        <f>Daten!I9/10</f>
        <v>0.01</v>
      </c>
      <c r="C4" s="17">
        <f ca="1">-((YEAR(TODAY())-Anbieten!K6)*0.01)*F2</f>
        <v>-12420</v>
      </c>
      <c r="F4">
        <f ca="1">SUM(C2:C8)</f>
        <v>503424</v>
      </c>
    </row>
    <row r="5" spans="1:8" x14ac:dyDescent="0.3">
      <c r="A5" s="19" t="s">
        <v>44</v>
      </c>
      <c r="B5" s="17">
        <f>VLOOKUP(Anbieten!G4,Daten!B4:C19,2,0)</f>
        <v>2.1</v>
      </c>
      <c r="C5" s="17">
        <f>F2*B5-F2</f>
        <v>227700</v>
      </c>
    </row>
    <row r="6" spans="1:8" x14ac:dyDescent="0.3">
      <c r="A6" s="19" t="s">
        <v>65</v>
      </c>
      <c r="B6" s="17">
        <f>VLOOKUP(Anbieten!G5,Daten!E4:F5,2,0)</f>
        <v>2</v>
      </c>
      <c r="C6" s="17">
        <f>F2*B6-F2</f>
        <v>207000</v>
      </c>
    </row>
    <row r="7" spans="1:8" x14ac:dyDescent="0.3">
      <c r="A7" s="19" t="s">
        <v>45</v>
      </c>
      <c r="B7" s="17">
        <f>VLOOKUP(Anbieten!G6,Daten!E15:F17,2,0)</f>
        <v>0.8</v>
      </c>
      <c r="C7" s="17">
        <f ca="1">SUM(C2:C6)*B7-SUM(C2:C6)</f>
        <v>-125856</v>
      </c>
    </row>
    <row r="8" spans="1:8" x14ac:dyDescent="0.3">
      <c r="A8" s="19" t="s">
        <v>46</v>
      </c>
      <c r="B8" s="17">
        <f>VLOOKUP(Anbieten!G7,Daten!E8:F12,2,0)</f>
        <v>1</v>
      </c>
      <c r="C8" s="17">
        <f ca="1">SUM(C2:C6)*B8-SUM(C2:C6)</f>
        <v>0</v>
      </c>
      <c r="H8">
        <f>12*0.1</f>
        <v>1.2000000000000002</v>
      </c>
    </row>
    <row r="9" spans="1:8" x14ac:dyDescent="0.3">
      <c r="A9" s="19" t="s">
        <v>51</v>
      </c>
      <c r="B9" s="17">
        <f>Daten!I6</f>
        <v>20</v>
      </c>
      <c r="C9" s="17">
        <f ca="1">IF(Anbieten!G8="Ja",F4*1.2,F4)-F4</f>
        <v>100684.79999999993</v>
      </c>
    </row>
    <row r="10" spans="1:8" x14ac:dyDescent="0.3">
      <c r="A10" s="19" t="s">
        <v>49</v>
      </c>
      <c r="B10" s="17">
        <f>Daten!I7</f>
        <v>20</v>
      </c>
      <c r="C10" s="17">
        <f ca="1">IF(Anbieten!G9="Ja",F4*1.2,F4)-F4</f>
        <v>100684.79999999993</v>
      </c>
    </row>
    <row r="11" spans="1:8" x14ac:dyDescent="0.3">
      <c r="A11" s="19" t="s">
        <v>50</v>
      </c>
      <c r="B11" s="17">
        <f>-Daten!I8</f>
        <v>-25</v>
      </c>
      <c r="C11" s="17">
        <f ca="1">IF(Anbieten!G10="Ja",F4*0.75,F4)-F4</f>
        <v>0</v>
      </c>
    </row>
    <row r="13" spans="1:8" x14ac:dyDescent="0.3">
      <c r="B13" s="17" t="s">
        <v>66</v>
      </c>
      <c r="C13" s="17">
        <f ca="1">SUM(C2:C12)</f>
        <v>704793.59999999986</v>
      </c>
    </row>
  </sheetData>
  <pageMargins left="0.7" right="0.7" top="0.78740157499999996" bottom="0.78740157499999996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483AC-6FAE-4163-9624-B344C80599E6}">
  <sheetPr codeName="Tabelle4"/>
  <dimension ref="A1:P100"/>
  <sheetViews>
    <sheetView showGridLines="0" tabSelected="1" zoomScale="115" zoomScaleNormal="115" workbookViewId="0">
      <selection activeCell="A18" sqref="A18"/>
    </sheetView>
  </sheetViews>
  <sheetFormatPr baseColWidth="10" defaultRowHeight="22.8" customHeight="1" x14ac:dyDescent="0.3"/>
  <cols>
    <col min="1" max="1" width="23.109375" customWidth="1"/>
    <col min="2" max="2" width="3.33203125" customWidth="1"/>
    <col min="13" max="13" width="8" customWidth="1"/>
    <col min="14" max="14" width="8.44140625" customWidth="1"/>
    <col min="16" max="16" width="4.6640625" customWidth="1"/>
  </cols>
  <sheetData>
    <row r="1" spans="1:16" ht="22.8" customHeight="1" x14ac:dyDescent="0.3">
      <c r="A1" s="16"/>
    </row>
    <row r="2" spans="1:16" ht="22.8" customHeight="1" x14ac:dyDescent="0.45">
      <c r="A2" s="42" t="s">
        <v>62</v>
      </c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</row>
    <row r="3" spans="1:16" ht="22.8" customHeight="1" x14ac:dyDescent="0.3">
      <c r="A3" s="16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22.8" customHeight="1" x14ac:dyDescent="0.3">
      <c r="A4" s="16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22.8" customHeight="1" x14ac:dyDescent="0.3">
      <c r="A5" s="16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22.8" customHeight="1" x14ac:dyDescent="0.3">
      <c r="A6" s="16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22.8" customHeight="1" x14ac:dyDescent="0.3">
      <c r="A7" s="16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</row>
    <row r="8" spans="1:16" ht="22.8" customHeight="1" x14ac:dyDescent="0.3">
      <c r="A8" s="16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</row>
    <row r="9" spans="1:16" ht="22.8" customHeight="1" x14ac:dyDescent="0.3">
      <c r="A9" s="16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</row>
    <row r="10" spans="1:16" ht="22.8" customHeight="1" x14ac:dyDescent="0.3">
      <c r="A10" s="16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22.8" customHeight="1" x14ac:dyDescent="0.3">
      <c r="A11" s="16"/>
      <c r="C11" s="43" t="s">
        <v>84</v>
      </c>
      <c r="D11" s="43"/>
      <c r="E11" s="43"/>
      <c r="F11" s="43"/>
      <c r="G11" s="43"/>
      <c r="H11" s="43"/>
      <c r="I11" s="39"/>
      <c r="J11" s="39"/>
      <c r="K11" s="39"/>
      <c r="L11" s="39"/>
      <c r="M11" s="39"/>
      <c r="N11" s="39"/>
      <c r="O11" s="39"/>
      <c r="P11" s="39"/>
    </row>
    <row r="12" spans="1:16" ht="22.8" customHeight="1" x14ac:dyDescent="0.3">
      <c r="A12" s="16"/>
      <c r="C12" s="43"/>
      <c r="D12" s="43"/>
      <c r="E12" s="43"/>
      <c r="F12" s="43"/>
      <c r="G12" s="43"/>
      <c r="H12" s="43"/>
      <c r="I12" s="39"/>
      <c r="J12" s="39"/>
      <c r="K12" s="39"/>
      <c r="L12" s="39"/>
      <c r="M12" s="39"/>
      <c r="N12" s="39"/>
      <c r="O12" s="39"/>
      <c r="P12" s="39"/>
    </row>
    <row r="13" spans="1:16" ht="22.8" customHeight="1" x14ac:dyDescent="0.3">
      <c r="A13" s="16"/>
      <c r="C13" s="43"/>
      <c r="D13" s="43"/>
      <c r="E13" s="43"/>
      <c r="F13" s="43"/>
      <c r="G13" s="43"/>
      <c r="H13" s="43"/>
      <c r="I13" s="39"/>
      <c r="J13" s="39"/>
      <c r="K13" s="39"/>
      <c r="L13" s="39"/>
      <c r="M13" s="39"/>
      <c r="N13" s="39"/>
      <c r="O13" s="39"/>
      <c r="P13" s="39"/>
    </row>
    <row r="14" spans="1:16" ht="22.8" customHeight="1" x14ac:dyDescent="0.3">
      <c r="A14" s="16"/>
      <c r="C14" s="43"/>
      <c r="D14" s="43"/>
      <c r="E14" s="43"/>
      <c r="F14" s="43"/>
      <c r="G14" s="43"/>
      <c r="H14" s="43"/>
      <c r="I14" s="39"/>
      <c r="J14" s="39"/>
      <c r="K14" s="39"/>
      <c r="L14" s="39"/>
      <c r="M14" s="39"/>
      <c r="N14" s="39"/>
      <c r="O14" s="39"/>
      <c r="P14" s="39"/>
    </row>
    <row r="15" spans="1:16" ht="22.8" customHeight="1" x14ac:dyDescent="0.3">
      <c r="A15" s="16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22.8" customHeight="1" x14ac:dyDescent="0.3">
      <c r="A16" s="16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</row>
    <row r="17" spans="1:16" ht="22.8" customHeight="1" x14ac:dyDescent="0.3">
      <c r="A17" s="16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</row>
    <row r="18" spans="1:16" ht="22.8" customHeight="1" x14ac:dyDescent="0.3">
      <c r="A18" s="16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</row>
    <row r="19" spans="1:16" ht="22.8" customHeight="1" x14ac:dyDescent="0.3">
      <c r="A19" s="16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ht="22.8" customHeight="1" x14ac:dyDescent="0.3">
      <c r="A20" s="16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ht="22.8" customHeight="1" x14ac:dyDescent="0.3">
      <c r="A21" s="16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ht="22.8" customHeight="1" x14ac:dyDescent="0.3">
      <c r="A22" s="16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</row>
    <row r="23" spans="1:16" ht="22.8" customHeight="1" x14ac:dyDescent="0.3">
      <c r="A23" s="16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</row>
    <row r="24" spans="1:16" ht="22.8" customHeight="1" x14ac:dyDescent="0.3">
      <c r="A24" s="16"/>
    </row>
    <row r="25" spans="1:16" ht="22.8" customHeight="1" x14ac:dyDescent="0.3">
      <c r="A25" s="16"/>
    </row>
    <row r="26" spans="1:16" ht="22.8" customHeight="1" x14ac:dyDescent="0.3">
      <c r="A26" s="16"/>
    </row>
    <row r="27" spans="1:16" ht="22.8" customHeight="1" x14ac:dyDescent="0.3">
      <c r="A27" s="16"/>
    </row>
    <row r="28" spans="1:16" ht="22.8" customHeight="1" x14ac:dyDescent="0.3">
      <c r="A28" s="16"/>
    </row>
    <row r="29" spans="1:16" ht="22.8" customHeight="1" x14ac:dyDescent="0.3">
      <c r="A29" s="16"/>
    </row>
    <row r="30" spans="1:16" ht="22.8" customHeight="1" x14ac:dyDescent="0.3">
      <c r="A30" s="16"/>
    </row>
    <row r="31" spans="1:16" ht="22.8" customHeight="1" x14ac:dyDescent="0.3">
      <c r="A31" s="16"/>
    </row>
    <row r="32" spans="1:16" ht="22.8" customHeight="1" x14ac:dyDescent="0.3">
      <c r="A32" s="16"/>
    </row>
    <row r="33" spans="1:1" ht="22.8" customHeight="1" x14ac:dyDescent="0.3">
      <c r="A33" s="16"/>
    </row>
    <row r="34" spans="1:1" ht="22.8" customHeight="1" x14ac:dyDescent="0.3">
      <c r="A34" s="16"/>
    </row>
    <row r="35" spans="1:1" ht="22.8" customHeight="1" x14ac:dyDescent="0.3">
      <c r="A35" s="16"/>
    </row>
    <row r="36" spans="1:1" ht="22.8" customHeight="1" x14ac:dyDescent="0.3">
      <c r="A36" s="16"/>
    </row>
    <row r="37" spans="1:1" ht="22.8" customHeight="1" x14ac:dyDescent="0.3">
      <c r="A37" s="16"/>
    </row>
    <row r="38" spans="1:1" ht="22.8" customHeight="1" x14ac:dyDescent="0.3">
      <c r="A38" s="16"/>
    </row>
    <row r="39" spans="1:1" ht="22.8" customHeight="1" x14ac:dyDescent="0.3">
      <c r="A39" s="16"/>
    </row>
    <row r="40" spans="1:1" ht="22.8" customHeight="1" x14ac:dyDescent="0.3">
      <c r="A40" s="16"/>
    </row>
    <row r="41" spans="1:1" ht="22.8" customHeight="1" x14ac:dyDescent="0.3">
      <c r="A41" s="16"/>
    </row>
    <row r="42" spans="1:1" ht="22.8" customHeight="1" x14ac:dyDescent="0.3">
      <c r="A42" s="16"/>
    </row>
    <row r="43" spans="1:1" ht="22.8" customHeight="1" x14ac:dyDescent="0.3">
      <c r="A43" s="16"/>
    </row>
    <row r="44" spans="1:1" ht="22.8" customHeight="1" x14ac:dyDescent="0.3">
      <c r="A44" s="16"/>
    </row>
    <row r="45" spans="1:1" ht="22.8" customHeight="1" x14ac:dyDescent="0.3">
      <c r="A45" s="16"/>
    </row>
    <row r="46" spans="1:1" ht="22.8" customHeight="1" x14ac:dyDescent="0.3">
      <c r="A46" s="16"/>
    </row>
    <row r="47" spans="1:1" ht="22.8" customHeight="1" x14ac:dyDescent="0.3">
      <c r="A47" s="16"/>
    </row>
    <row r="48" spans="1:1" ht="22.8" customHeight="1" x14ac:dyDescent="0.3">
      <c r="A48" s="16"/>
    </row>
    <row r="49" spans="1:1" ht="22.8" customHeight="1" x14ac:dyDescent="0.3">
      <c r="A49" s="16"/>
    </row>
    <row r="50" spans="1:1" ht="22.8" customHeight="1" x14ac:dyDescent="0.3">
      <c r="A50" s="16"/>
    </row>
    <row r="51" spans="1:1" ht="22.8" customHeight="1" x14ac:dyDescent="0.3">
      <c r="A51" s="16"/>
    </row>
    <row r="52" spans="1:1" ht="22.8" customHeight="1" x14ac:dyDescent="0.3">
      <c r="A52" s="16"/>
    </row>
    <row r="53" spans="1:1" ht="22.8" customHeight="1" x14ac:dyDescent="0.3">
      <c r="A53" s="16"/>
    </row>
    <row r="54" spans="1:1" ht="22.8" customHeight="1" x14ac:dyDescent="0.3">
      <c r="A54" s="16"/>
    </row>
    <row r="55" spans="1:1" ht="22.8" customHeight="1" x14ac:dyDescent="0.3">
      <c r="A55" s="16"/>
    </row>
    <row r="56" spans="1:1" ht="22.8" customHeight="1" x14ac:dyDescent="0.3">
      <c r="A56" s="16"/>
    </row>
    <row r="57" spans="1:1" ht="22.8" customHeight="1" x14ac:dyDescent="0.3">
      <c r="A57" s="16"/>
    </row>
    <row r="58" spans="1:1" ht="22.8" customHeight="1" x14ac:dyDescent="0.3">
      <c r="A58" s="16"/>
    </row>
    <row r="59" spans="1:1" ht="22.8" customHeight="1" x14ac:dyDescent="0.3">
      <c r="A59" s="16"/>
    </row>
    <row r="60" spans="1:1" ht="22.8" customHeight="1" x14ac:dyDescent="0.3">
      <c r="A60" s="16"/>
    </row>
    <row r="61" spans="1:1" ht="22.8" customHeight="1" x14ac:dyDescent="0.3">
      <c r="A61" s="16"/>
    </row>
    <row r="62" spans="1:1" ht="22.8" customHeight="1" x14ac:dyDescent="0.3">
      <c r="A62" s="16"/>
    </row>
    <row r="63" spans="1:1" ht="22.8" customHeight="1" x14ac:dyDescent="0.3">
      <c r="A63" s="16"/>
    </row>
    <row r="64" spans="1:1" ht="22.8" customHeight="1" x14ac:dyDescent="0.3">
      <c r="A64" s="16"/>
    </row>
    <row r="65" spans="1:1" ht="22.8" customHeight="1" x14ac:dyDescent="0.3">
      <c r="A65" s="16"/>
    </row>
    <row r="66" spans="1:1" ht="22.8" customHeight="1" x14ac:dyDescent="0.3">
      <c r="A66" s="16"/>
    </row>
    <row r="67" spans="1:1" ht="22.8" customHeight="1" x14ac:dyDescent="0.3">
      <c r="A67" s="16"/>
    </row>
    <row r="68" spans="1:1" ht="22.8" customHeight="1" x14ac:dyDescent="0.3">
      <c r="A68" s="16"/>
    </row>
    <row r="69" spans="1:1" ht="22.8" customHeight="1" x14ac:dyDescent="0.3">
      <c r="A69" s="16"/>
    </row>
    <row r="70" spans="1:1" ht="22.8" customHeight="1" x14ac:dyDescent="0.3">
      <c r="A70" s="16"/>
    </row>
    <row r="71" spans="1:1" ht="22.8" customHeight="1" x14ac:dyDescent="0.3">
      <c r="A71" s="16"/>
    </row>
    <row r="72" spans="1:1" ht="22.8" customHeight="1" x14ac:dyDescent="0.3">
      <c r="A72" s="16"/>
    </row>
    <row r="73" spans="1:1" ht="22.8" customHeight="1" x14ac:dyDescent="0.3">
      <c r="A73" s="16"/>
    </row>
    <row r="74" spans="1:1" ht="22.8" customHeight="1" x14ac:dyDescent="0.3">
      <c r="A74" s="16"/>
    </row>
    <row r="75" spans="1:1" ht="22.8" customHeight="1" x14ac:dyDescent="0.3">
      <c r="A75" s="16"/>
    </row>
    <row r="76" spans="1:1" ht="22.8" customHeight="1" x14ac:dyDescent="0.3">
      <c r="A76" s="16"/>
    </row>
    <row r="77" spans="1:1" ht="22.8" customHeight="1" x14ac:dyDescent="0.3">
      <c r="A77" s="16"/>
    </row>
    <row r="78" spans="1:1" ht="22.8" customHeight="1" x14ac:dyDescent="0.3">
      <c r="A78" s="16"/>
    </row>
    <row r="79" spans="1:1" ht="22.8" customHeight="1" x14ac:dyDescent="0.3">
      <c r="A79" s="16"/>
    </row>
    <row r="80" spans="1:1" ht="22.8" customHeight="1" x14ac:dyDescent="0.3">
      <c r="A80" s="16"/>
    </row>
    <row r="81" spans="1:1" ht="22.8" customHeight="1" x14ac:dyDescent="0.3">
      <c r="A81" s="16"/>
    </row>
    <row r="82" spans="1:1" ht="22.8" customHeight="1" x14ac:dyDescent="0.3">
      <c r="A82" s="16"/>
    </row>
    <row r="83" spans="1:1" ht="22.8" customHeight="1" x14ac:dyDescent="0.3">
      <c r="A83" s="16"/>
    </row>
    <row r="84" spans="1:1" ht="22.8" customHeight="1" x14ac:dyDescent="0.3">
      <c r="A84" s="16"/>
    </row>
    <row r="85" spans="1:1" ht="22.8" customHeight="1" x14ac:dyDescent="0.3">
      <c r="A85" s="16"/>
    </row>
    <row r="86" spans="1:1" ht="22.8" customHeight="1" x14ac:dyDescent="0.3">
      <c r="A86" s="16"/>
    </row>
    <row r="87" spans="1:1" ht="22.8" customHeight="1" x14ac:dyDescent="0.3">
      <c r="A87" s="16"/>
    </row>
    <row r="88" spans="1:1" ht="22.8" customHeight="1" x14ac:dyDescent="0.3">
      <c r="A88" s="16"/>
    </row>
    <row r="89" spans="1:1" ht="22.8" customHeight="1" x14ac:dyDescent="0.3">
      <c r="A89" s="16"/>
    </row>
    <row r="90" spans="1:1" ht="22.8" customHeight="1" x14ac:dyDescent="0.3">
      <c r="A90" s="16"/>
    </row>
    <row r="91" spans="1:1" ht="22.8" customHeight="1" x14ac:dyDescent="0.3">
      <c r="A91" s="16"/>
    </row>
    <row r="92" spans="1:1" ht="22.8" customHeight="1" x14ac:dyDescent="0.3">
      <c r="A92" s="16"/>
    </row>
    <row r="93" spans="1:1" ht="22.8" customHeight="1" x14ac:dyDescent="0.3">
      <c r="A93" s="16"/>
    </row>
    <row r="94" spans="1:1" ht="22.8" customHeight="1" x14ac:dyDescent="0.3">
      <c r="A94" s="16"/>
    </row>
    <row r="95" spans="1:1" ht="22.8" customHeight="1" x14ac:dyDescent="0.3">
      <c r="A95" s="16"/>
    </row>
    <row r="96" spans="1:1" ht="22.8" customHeight="1" x14ac:dyDescent="0.3">
      <c r="A96" s="16"/>
    </row>
    <row r="97" spans="1:1" ht="22.8" customHeight="1" x14ac:dyDescent="0.3">
      <c r="A97" s="16"/>
    </row>
    <row r="98" spans="1:1" ht="22.8" customHeight="1" x14ac:dyDescent="0.3">
      <c r="A98" s="16"/>
    </row>
    <row r="99" spans="1:1" ht="22.8" customHeight="1" x14ac:dyDescent="0.3">
      <c r="A99" s="16"/>
    </row>
    <row r="100" spans="1:1" ht="22.8" customHeight="1" x14ac:dyDescent="0.3">
      <c r="A100" s="16"/>
    </row>
  </sheetData>
  <mergeCells count="2">
    <mergeCell ref="A2:P2"/>
    <mergeCell ref="C11:H14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539F4-8096-4730-93AB-27C42870B973}">
  <sheetPr codeName="Tabelle5"/>
  <dimension ref="A1:N27"/>
  <sheetViews>
    <sheetView showGridLines="0" zoomScale="115" zoomScaleNormal="115" workbookViewId="0">
      <selection activeCell="O19" sqref="O19"/>
    </sheetView>
  </sheetViews>
  <sheetFormatPr baseColWidth="10" defaultRowHeight="22.8" customHeight="1" x14ac:dyDescent="0.3"/>
  <cols>
    <col min="1" max="1" width="23.109375" customWidth="1"/>
    <col min="2" max="2" width="3.77734375" customWidth="1"/>
    <col min="6" max="6" width="18.109375" customWidth="1"/>
    <col min="7" max="7" width="16.44140625" customWidth="1"/>
    <col min="8" max="8" width="1.88671875" customWidth="1"/>
    <col min="12" max="12" width="19" customWidth="1"/>
    <col min="13" max="13" width="9.109375" customWidth="1"/>
    <col min="14" max="14" width="7.21875" customWidth="1"/>
  </cols>
  <sheetData>
    <row r="1" spans="1:14" ht="22.8" customHeight="1" x14ac:dyDescent="0.3">
      <c r="A1" s="16"/>
    </row>
    <row r="2" spans="1:14" ht="22.8" customHeight="1" x14ac:dyDescent="0.45">
      <c r="A2" s="49" t="s">
        <v>57</v>
      </c>
      <c r="B2" s="49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</row>
    <row r="3" spans="1:14" ht="22.8" customHeight="1" x14ac:dyDescent="0.4">
      <c r="A3" s="16"/>
      <c r="C3" s="41" t="s">
        <v>59</v>
      </c>
      <c r="D3" s="41"/>
      <c r="E3" s="41"/>
      <c r="F3" s="41"/>
      <c r="G3" s="41"/>
      <c r="H3" s="41"/>
      <c r="I3" s="41"/>
      <c r="J3" s="41"/>
      <c r="K3" s="41"/>
      <c r="L3" s="68" t="s">
        <v>86</v>
      </c>
      <c r="M3" s="66" t="s">
        <v>87</v>
      </c>
      <c r="N3" s="66"/>
    </row>
    <row r="4" spans="1:14" ht="22.8" customHeight="1" x14ac:dyDescent="0.3">
      <c r="A4" s="16"/>
      <c r="C4" s="44" t="s">
        <v>44</v>
      </c>
      <c r="D4" s="45"/>
      <c r="E4" s="45"/>
      <c r="F4" s="46"/>
      <c r="G4" s="64" t="s">
        <v>3</v>
      </c>
      <c r="H4" s="18"/>
      <c r="I4" s="44" t="s">
        <v>53</v>
      </c>
      <c r="J4" s="46"/>
      <c r="K4" s="65">
        <v>200</v>
      </c>
      <c r="L4" s="18"/>
      <c r="M4" s="67">
        <v>200</v>
      </c>
      <c r="N4" s="67"/>
    </row>
    <row r="5" spans="1:14" ht="22.8" customHeight="1" x14ac:dyDescent="0.3">
      <c r="A5" s="16"/>
      <c r="C5" s="44" t="s">
        <v>47</v>
      </c>
      <c r="D5" s="45"/>
      <c r="E5" s="45"/>
      <c r="F5" s="46"/>
      <c r="G5" s="64" t="s">
        <v>20</v>
      </c>
      <c r="H5" s="18"/>
      <c r="I5" s="44" t="s">
        <v>54</v>
      </c>
      <c r="J5" s="46"/>
      <c r="K5" s="65">
        <v>70</v>
      </c>
      <c r="L5" s="18"/>
      <c r="M5" s="67">
        <v>0</v>
      </c>
      <c r="N5" s="67"/>
    </row>
    <row r="6" spans="1:14" ht="22.8" customHeight="1" x14ac:dyDescent="0.3">
      <c r="A6" s="16"/>
      <c r="C6" s="44" t="s">
        <v>45</v>
      </c>
      <c r="D6" s="45"/>
      <c r="E6" s="45"/>
      <c r="F6" s="46"/>
      <c r="G6" s="64" t="s">
        <v>35</v>
      </c>
      <c r="H6" s="18"/>
      <c r="I6" s="44" t="s">
        <v>60</v>
      </c>
      <c r="J6" s="46"/>
      <c r="K6" s="65">
        <v>2017</v>
      </c>
      <c r="L6" s="18"/>
      <c r="M6" s="18"/>
      <c r="N6" s="18"/>
    </row>
    <row r="7" spans="1:14" ht="22.8" customHeight="1" x14ac:dyDescent="0.3">
      <c r="A7" s="16"/>
      <c r="C7" s="44" t="s">
        <v>46</v>
      </c>
      <c r="D7" s="45"/>
      <c r="E7" s="45"/>
      <c r="F7" s="46"/>
      <c r="G7" s="64" t="s">
        <v>30</v>
      </c>
      <c r="H7" s="18"/>
      <c r="I7" s="18"/>
      <c r="J7" s="18"/>
      <c r="K7" s="18"/>
      <c r="L7" s="18"/>
      <c r="M7" s="18"/>
      <c r="N7" s="18"/>
    </row>
    <row r="8" spans="1:14" ht="22.8" customHeight="1" x14ac:dyDescent="0.35">
      <c r="A8" s="16"/>
      <c r="C8" s="44" t="s">
        <v>51</v>
      </c>
      <c r="D8" s="45"/>
      <c r="E8" s="45"/>
      <c r="F8" s="46"/>
      <c r="G8" s="64" t="s">
        <v>52</v>
      </c>
      <c r="H8" s="18"/>
      <c r="I8" s="48" t="s">
        <v>61</v>
      </c>
      <c r="J8" s="48"/>
      <c r="K8" s="48"/>
      <c r="L8" s="22"/>
      <c r="M8" s="22"/>
      <c r="N8" s="18"/>
    </row>
    <row r="9" spans="1:14" ht="22.8" customHeight="1" x14ac:dyDescent="0.3">
      <c r="A9" s="16"/>
      <c r="C9" s="44" t="s">
        <v>49</v>
      </c>
      <c r="D9" s="45"/>
      <c r="E9" s="45"/>
      <c r="F9" s="46"/>
      <c r="G9" s="64" t="s">
        <v>52</v>
      </c>
      <c r="H9" s="18"/>
      <c r="I9" s="48"/>
      <c r="J9" s="48"/>
      <c r="K9" s="48"/>
      <c r="L9" s="47">
        <f ca="1">Formeln!C13</f>
        <v>704793.59999999986</v>
      </c>
      <c r="M9" s="47"/>
      <c r="N9" s="18"/>
    </row>
    <row r="10" spans="1:14" ht="22.8" customHeight="1" x14ac:dyDescent="0.3">
      <c r="A10" s="16"/>
      <c r="C10" s="44" t="s">
        <v>50</v>
      </c>
      <c r="D10" s="45"/>
      <c r="E10" s="45"/>
      <c r="F10" s="46"/>
      <c r="G10" s="64" t="s">
        <v>48</v>
      </c>
      <c r="H10" s="18"/>
      <c r="I10" s="48"/>
      <c r="J10" s="48"/>
      <c r="K10" s="48"/>
      <c r="L10" s="47"/>
      <c r="M10" s="47"/>
      <c r="N10" s="18"/>
    </row>
    <row r="11" spans="1:14" ht="22.8" customHeight="1" x14ac:dyDescent="0.35">
      <c r="A11" s="16"/>
      <c r="C11" s="18"/>
      <c r="D11" s="18"/>
      <c r="E11" s="18"/>
      <c r="F11" s="18"/>
      <c r="G11" s="18"/>
      <c r="H11" s="18"/>
      <c r="I11" s="22"/>
      <c r="J11" s="22"/>
      <c r="K11" s="22"/>
      <c r="L11" s="22"/>
      <c r="M11" s="22"/>
      <c r="N11" s="18"/>
    </row>
    <row r="12" spans="1:14" ht="22.8" customHeight="1" x14ac:dyDescent="0.3">
      <c r="A12" s="16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</row>
    <row r="13" spans="1:14" ht="22.8" customHeight="1" x14ac:dyDescent="0.3">
      <c r="A13" s="16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</row>
    <row r="14" spans="1:14" ht="22.8" customHeight="1" x14ac:dyDescent="0.3">
      <c r="A14" s="16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</row>
    <row r="15" spans="1:14" ht="22.8" customHeight="1" x14ac:dyDescent="0.3">
      <c r="A15" s="16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</row>
    <row r="16" spans="1:14" ht="22.8" customHeight="1" x14ac:dyDescent="0.3">
      <c r="A16" s="16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</row>
    <row r="17" spans="1:14" ht="22.8" customHeight="1" x14ac:dyDescent="0.3">
      <c r="A17" s="16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</row>
    <row r="18" spans="1:14" ht="22.8" customHeight="1" x14ac:dyDescent="0.3">
      <c r="A18" s="16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</row>
    <row r="19" spans="1:14" ht="22.8" customHeight="1" x14ac:dyDescent="0.3">
      <c r="A19" s="16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</row>
    <row r="20" spans="1:14" ht="22.8" customHeight="1" x14ac:dyDescent="0.3">
      <c r="A20" s="16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</row>
    <row r="21" spans="1:14" ht="22.8" customHeight="1" x14ac:dyDescent="0.3">
      <c r="A21" s="16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</row>
    <row r="22" spans="1:14" ht="22.8" customHeight="1" x14ac:dyDescent="0.3">
      <c r="A22" s="16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</row>
    <row r="23" spans="1:14" ht="22.8" customHeight="1" x14ac:dyDescent="0.3">
      <c r="A23" s="16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</row>
    <row r="24" spans="1:14" ht="22.8" customHeight="1" x14ac:dyDescent="0.3">
      <c r="A24" s="16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</row>
    <row r="25" spans="1:14" ht="22.8" customHeight="1" x14ac:dyDescent="0.3">
      <c r="A25" s="16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</row>
    <row r="26" spans="1:14" ht="22.8" customHeight="1" x14ac:dyDescent="0.3">
      <c r="A26" s="16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</row>
    <row r="27" spans="1:14" ht="22.8" customHeight="1" x14ac:dyDescent="0.3">
      <c r="A27" s="16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</row>
  </sheetData>
  <mergeCells count="16">
    <mergeCell ref="C5:F5"/>
    <mergeCell ref="A2:N2"/>
    <mergeCell ref="C7:F7"/>
    <mergeCell ref="I6:J6"/>
    <mergeCell ref="I4:J4"/>
    <mergeCell ref="I5:J5"/>
    <mergeCell ref="C4:F4"/>
    <mergeCell ref="C6:F6"/>
    <mergeCell ref="M3:N3"/>
    <mergeCell ref="M4:N4"/>
    <mergeCell ref="M5:N5"/>
    <mergeCell ref="C8:F8"/>
    <mergeCell ref="C9:F9"/>
    <mergeCell ref="C10:F10"/>
    <mergeCell ref="L9:M10"/>
    <mergeCell ref="I8:K10"/>
  </mergeCells>
  <pageMargins left="0.7" right="0.7" top="0.78740157499999996" bottom="0.78740157499999996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Scroll Bar 2">
              <controlPr defaultSize="0" autoPict="0">
                <anchor moveWithCells="1">
                  <from>
                    <xdr:col>11</xdr:col>
                    <xdr:colOff>15240</xdr:colOff>
                    <xdr:row>3</xdr:row>
                    <xdr:rowOff>22860</xdr:rowOff>
                  </from>
                  <to>
                    <xdr:col>11</xdr:col>
                    <xdr:colOff>1203960</xdr:colOff>
                    <xdr:row>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Scroll Bar 3">
              <controlPr defaultSize="0" autoPict="0">
                <anchor moveWithCells="1">
                  <from>
                    <xdr:col>11</xdr:col>
                    <xdr:colOff>15240</xdr:colOff>
                    <xdr:row>4</xdr:row>
                    <xdr:rowOff>15240</xdr:rowOff>
                  </from>
                  <to>
                    <xdr:col>11</xdr:col>
                    <xdr:colOff>1203960</xdr:colOff>
                    <xdr:row>4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Scroll Bar 4">
              <controlPr defaultSize="0" autoPict="0">
                <anchor moveWithCells="1">
                  <from>
                    <xdr:col>11</xdr:col>
                    <xdr:colOff>22860</xdr:colOff>
                    <xdr:row>5</xdr:row>
                    <xdr:rowOff>22860</xdr:rowOff>
                  </from>
                  <to>
                    <xdr:col>11</xdr:col>
                    <xdr:colOff>1211580</xdr:colOff>
                    <xdr:row>5</xdr:row>
                    <xdr:rowOff>281940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D7506FB4-6DE4-40EE-AE5C-1E19E2C70AAB}">
          <x14:formula1>
            <xm:f>Daten!$E$4:$E$5</xm:f>
          </x14:formula1>
          <xm:sqref>G5</xm:sqref>
        </x14:dataValidation>
        <x14:dataValidation type="list" allowBlank="1" showInputMessage="1" showErrorMessage="1" xr:uid="{3C5E0FA1-AC2B-4CE1-80FC-6F805CD961DF}">
          <x14:formula1>
            <xm:f>Daten!$E$8:$E$12</xm:f>
          </x14:formula1>
          <xm:sqref>G7</xm:sqref>
        </x14:dataValidation>
        <x14:dataValidation type="list" allowBlank="1" showInputMessage="1" showErrorMessage="1" xr:uid="{FFDF874F-5943-45A8-A8C0-59400C91EC03}">
          <x14:formula1>
            <xm:f>Daten!$E$15:$E$17</xm:f>
          </x14:formula1>
          <xm:sqref>G6</xm:sqref>
        </x14:dataValidation>
        <x14:dataValidation type="list" allowBlank="1" showInputMessage="1" showErrorMessage="1" xr:uid="{41E78BFA-A6AA-4B8E-8346-077E6405A553}">
          <x14:formula1>
            <xm:f>Daten!$B$4:$B$19</xm:f>
          </x14:formula1>
          <xm:sqref>G4</xm:sqref>
        </x14:dataValidation>
        <x14:dataValidation type="list" allowBlank="1" showInputMessage="1" showErrorMessage="1" xr:uid="{A1E202D8-828D-4A0A-BB36-E4038D2302DF}">
          <x14:formula1>
            <xm:f>Daten!$H$13:$H$14</xm:f>
          </x14:formula1>
          <xm:sqref>G8:G10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CDCD9-1385-432E-97BD-FC83EAA9BF70}">
  <sheetPr codeName="Tabelle6"/>
  <dimension ref="A1:P100"/>
  <sheetViews>
    <sheetView showGridLines="0" zoomScale="115" zoomScaleNormal="115" workbookViewId="0">
      <pane xSplit="16" ySplit="18" topLeftCell="Q19" activePane="bottomRight" state="frozen"/>
      <selection pane="topRight" activeCell="Q1" sqref="Q1"/>
      <selection pane="bottomLeft" activeCell="A19" sqref="A19"/>
      <selection pane="bottomRight" activeCell="F13" sqref="F13:H14"/>
    </sheetView>
  </sheetViews>
  <sheetFormatPr baseColWidth="10" defaultRowHeight="22.8" customHeight="1" x14ac:dyDescent="0.3"/>
  <cols>
    <col min="1" max="1" width="23.109375" customWidth="1"/>
    <col min="2" max="2" width="3.21875" customWidth="1"/>
    <col min="6" max="6" width="3.21875" customWidth="1"/>
    <col min="12" max="12" width="3.5546875" customWidth="1"/>
  </cols>
  <sheetData>
    <row r="1" spans="1:16" ht="22.8" customHeight="1" x14ac:dyDescent="0.3">
      <c r="A1" s="16"/>
    </row>
    <row r="2" spans="1:16" ht="22.8" customHeight="1" x14ac:dyDescent="0.45">
      <c r="A2" s="55" t="s">
        <v>58</v>
      </c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</row>
    <row r="3" spans="1:16" ht="22.8" customHeight="1" x14ac:dyDescent="0.3">
      <c r="A3" s="16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</row>
    <row r="4" spans="1:16" ht="22.8" customHeight="1" x14ac:dyDescent="0.4">
      <c r="A4" s="16"/>
      <c r="C4" s="28"/>
      <c r="D4" s="29" t="s">
        <v>67</v>
      </c>
      <c r="E4" s="29"/>
      <c r="F4" s="29"/>
      <c r="G4" s="29"/>
      <c r="H4" s="28"/>
      <c r="I4" s="28"/>
      <c r="J4" s="28"/>
      <c r="K4" s="28"/>
      <c r="L4" s="28"/>
      <c r="M4" s="28"/>
      <c r="N4" s="28"/>
      <c r="O4" s="28"/>
      <c r="P4" s="28"/>
    </row>
    <row r="5" spans="1:16" ht="22.8" customHeight="1" x14ac:dyDescent="0.4">
      <c r="A5" s="16"/>
      <c r="C5" s="28"/>
      <c r="D5" s="58" t="s">
        <v>68</v>
      </c>
      <c r="E5" s="58"/>
      <c r="F5" s="29"/>
      <c r="G5" s="58" t="s">
        <v>69</v>
      </c>
      <c r="H5" s="58"/>
      <c r="I5" s="28"/>
      <c r="J5" s="50" t="s">
        <v>74</v>
      </c>
      <c r="K5" s="50"/>
      <c r="L5" s="28"/>
      <c r="M5" s="28"/>
      <c r="N5" s="28"/>
      <c r="O5" s="28"/>
      <c r="P5" s="28"/>
    </row>
    <row r="6" spans="1:16" ht="22.8" customHeight="1" x14ac:dyDescent="0.4">
      <c r="A6" s="16"/>
      <c r="C6" s="28"/>
      <c r="D6" s="57">
        <v>500000</v>
      </c>
      <c r="E6" s="57"/>
      <c r="F6" s="29"/>
      <c r="G6" s="56">
        <v>0.5</v>
      </c>
      <c r="H6" s="56"/>
      <c r="I6" s="28"/>
      <c r="J6" s="59">
        <f>Daten!Q17</f>
        <v>0.01</v>
      </c>
      <c r="K6" s="59"/>
      <c r="L6" s="28"/>
      <c r="M6" s="28"/>
      <c r="N6" s="28"/>
      <c r="O6" s="28"/>
      <c r="P6" s="28"/>
    </row>
    <row r="7" spans="1:16" ht="22.8" customHeight="1" x14ac:dyDescent="0.3">
      <c r="A7" s="16"/>
      <c r="C7" s="28"/>
      <c r="D7" s="52" t="s">
        <v>81</v>
      </c>
      <c r="E7" s="52"/>
      <c r="F7" s="52"/>
      <c r="G7" s="52"/>
      <c r="H7" s="28"/>
      <c r="I7" s="28"/>
      <c r="J7" s="28" t="s">
        <v>82</v>
      </c>
      <c r="K7" s="28"/>
      <c r="L7" s="28"/>
      <c r="M7" s="28"/>
      <c r="N7" s="28"/>
      <c r="O7" s="28"/>
      <c r="P7" s="28"/>
    </row>
    <row r="8" spans="1:16" ht="22.8" customHeight="1" x14ac:dyDescent="0.3">
      <c r="A8" s="16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1:16" ht="9" customHeight="1" x14ac:dyDescent="0.3">
      <c r="A9" s="16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</row>
    <row r="10" spans="1:16" ht="22.8" customHeight="1" x14ac:dyDescent="0.3">
      <c r="A10" s="16"/>
      <c r="C10" s="28"/>
      <c r="D10" s="28"/>
      <c r="E10" s="33">
        <v>120</v>
      </c>
      <c r="F10" s="34"/>
      <c r="G10" s="35" t="s">
        <v>73</v>
      </c>
      <c r="H10" s="28"/>
      <c r="I10" s="28"/>
      <c r="J10" s="28"/>
      <c r="K10" s="28"/>
      <c r="L10" s="28"/>
      <c r="M10" s="28"/>
      <c r="N10" s="28"/>
      <c r="O10" s="28"/>
      <c r="P10" s="28"/>
    </row>
    <row r="11" spans="1:16" ht="22.8" customHeight="1" x14ac:dyDescent="0.3">
      <c r="A11" s="16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</row>
    <row r="12" spans="1:16" ht="22.8" customHeight="1" x14ac:dyDescent="0.3">
      <c r="A12" s="16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</row>
    <row r="13" spans="1:16" ht="22.8" customHeight="1" x14ac:dyDescent="0.3">
      <c r="A13" s="16"/>
      <c r="C13" s="28"/>
      <c r="D13" s="51" t="s">
        <v>83</v>
      </c>
      <c r="E13" s="51"/>
      <c r="F13" s="53">
        <f>-1*Daten!M21</f>
        <v>3586.7737100646846</v>
      </c>
      <c r="G13" s="54"/>
      <c r="H13" s="54"/>
      <c r="I13" s="28"/>
      <c r="J13" s="28"/>
      <c r="K13" s="28"/>
      <c r="L13" s="28"/>
      <c r="M13" s="28"/>
      <c r="N13" s="28"/>
      <c r="O13" s="28"/>
      <c r="P13" s="28"/>
    </row>
    <row r="14" spans="1:16" ht="22.8" customHeight="1" x14ac:dyDescent="0.3">
      <c r="A14" s="16"/>
      <c r="C14" s="28"/>
      <c r="D14" s="51"/>
      <c r="E14" s="51"/>
      <c r="F14" s="53"/>
      <c r="G14" s="54"/>
      <c r="H14" s="54"/>
      <c r="I14" s="28"/>
      <c r="J14" s="28"/>
      <c r="K14" s="28"/>
      <c r="L14" s="28"/>
      <c r="M14" s="28"/>
      <c r="N14" s="28"/>
      <c r="O14" s="28"/>
      <c r="P14" s="28"/>
    </row>
    <row r="15" spans="1:16" ht="22.8" customHeight="1" x14ac:dyDescent="0.3">
      <c r="A15" s="16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</row>
    <row r="16" spans="1:16" ht="22.8" customHeight="1" x14ac:dyDescent="0.3">
      <c r="A16" s="16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</row>
    <row r="17" spans="1:16" ht="22.8" customHeight="1" x14ac:dyDescent="0.3">
      <c r="A17" s="16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</row>
    <row r="18" spans="1:16" ht="22.8" customHeight="1" x14ac:dyDescent="0.3">
      <c r="A18" s="16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</row>
    <row r="19" spans="1:16" ht="22.8" customHeight="1" x14ac:dyDescent="0.3">
      <c r="A19" s="16"/>
    </row>
    <row r="20" spans="1:16" ht="22.8" customHeight="1" x14ac:dyDescent="0.3">
      <c r="A20" s="16"/>
    </row>
    <row r="21" spans="1:16" ht="22.8" customHeight="1" x14ac:dyDescent="0.3">
      <c r="A21" s="16"/>
    </row>
    <row r="22" spans="1:16" ht="22.8" customHeight="1" x14ac:dyDescent="0.3">
      <c r="A22" s="16"/>
    </row>
    <row r="23" spans="1:16" ht="22.8" customHeight="1" x14ac:dyDescent="0.3">
      <c r="A23" s="16"/>
    </row>
    <row r="24" spans="1:16" ht="22.8" customHeight="1" x14ac:dyDescent="0.3">
      <c r="A24" s="16"/>
    </row>
    <row r="25" spans="1:16" ht="22.8" customHeight="1" x14ac:dyDescent="0.3">
      <c r="A25" s="16"/>
    </row>
    <row r="26" spans="1:16" ht="22.8" customHeight="1" x14ac:dyDescent="0.3">
      <c r="A26" s="16"/>
    </row>
    <row r="27" spans="1:16" ht="22.8" customHeight="1" x14ac:dyDescent="0.3">
      <c r="A27" s="16"/>
    </row>
    <row r="28" spans="1:16" ht="22.8" customHeight="1" x14ac:dyDescent="0.3">
      <c r="A28" s="16"/>
    </row>
    <row r="29" spans="1:16" ht="22.8" customHeight="1" x14ac:dyDescent="0.3">
      <c r="A29" s="16"/>
    </row>
    <row r="30" spans="1:16" ht="22.8" customHeight="1" x14ac:dyDescent="0.3">
      <c r="A30" s="16"/>
    </row>
    <row r="31" spans="1:16" ht="22.8" customHeight="1" x14ac:dyDescent="0.3">
      <c r="A31" s="16"/>
    </row>
    <row r="32" spans="1:16" ht="22.8" customHeight="1" x14ac:dyDescent="0.3">
      <c r="A32" s="16"/>
    </row>
    <row r="33" spans="1:1" ht="22.8" customHeight="1" x14ac:dyDescent="0.3">
      <c r="A33" s="16"/>
    </row>
    <row r="34" spans="1:1" ht="22.8" customHeight="1" x14ac:dyDescent="0.3">
      <c r="A34" s="16"/>
    </row>
    <row r="35" spans="1:1" ht="22.8" customHeight="1" x14ac:dyDescent="0.3">
      <c r="A35" s="16"/>
    </row>
    <row r="36" spans="1:1" ht="22.8" customHeight="1" x14ac:dyDescent="0.3">
      <c r="A36" s="16"/>
    </row>
    <row r="37" spans="1:1" ht="22.8" customHeight="1" x14ac:dyDescent="0.3">
      <c r="A37" s="16"/>
    </row>
    <row r="38" spans="1:1" ht="22.8" customHeight="1" x14ac:dyDescent="0.3">
      <c r="A38" s="16"/>
    </row>
    <row r="39" spans="1:1" ht="22.8" customHeight="1" x14ac:dyDescent="0.3">
      <c r="A39" s="16"/>
    </row>
    <row r="40" spans="1:1" ht="22.8" customHeight="1" x14ac:dyDescent="0.3">
      <c r="A40" s="16"/>
    </row>
    <row r="41" spans="1:1" ht="22.8" customHeight="1" x14ac:dyDescent="0.3">
      <c r="A41" s="16"/>
    </row>
    <row r="42" spans="1:1" ht="22.8" customHeight="1" x14ac:dyDescent="0.3">
      <c r="A42" s="16"/>
    </row>
    <row r="43" spans="1:1" ht="22.8" customHeight="1" x14ac:dyDescent="0.3">
      <c r="A43" s="16"/>
    </row>
    <row r="44" spans="1:1" ht="22.8" customHeight="1" x14ac:dyDescent="0.3">
      <c r="A44" s="16"/>
    </row>
    <row r="45" spans="1:1" ht="22.8" customHeight="1" x14ac:dyDescent="0.3">
      <c r="A45" s="16"/>
    </row>
    <row r="46" spans="1:1" ht="22.8" customHeight="1" x14ac:dyDescent="0.3">
      <c r="A46" s="16"/>
    </row>
    <row r="47" spans="1:1" ht="22.8" customHeight="1" x14ac:dyDescent="0.3">
      <c r="A47" s="16"/>
    </row>
    <row r="48" spans="1:1" ht="22.8" customHeight="1" x14ac:dyDescent="0.3">
      <c r="A48" s="16"/>
    </row>
    <row r="49" spans="1:1" ht="22.8" customHeight="1" x14ac:dyDescent="0.3">
      <c r="A49" s="16"/>
    </row>
    <row r="50" spans="1:1" ht="22.8" customHeight="1" x14ac:dyDescent="0.3">
      <c r="A50" s="16"/>
    </row>
    <row r="51" spans="1:1" ht="22.8" customHeight="1" x14ac:dyDescent="0.3">
      <c r="A51" s="16"/>
    </row>
    <row r="52" spans="1:1" ht="22.8" customHeight="1" x14ac:dyDescent="0.3">
      <c r="A52" s="16"/>
    </row>
    <row r="53" spans="1:1" ht="22.8" customHeight="1" x14ac:dyDescent="0.3">
      <c r="A53" s="16"/>
    </row>
    <row r="54" spans="1:1" ht="22.8" customHeight="1" x14ac:dyDescent="0.3">
      <c r="A54" s="16"/>
    </row>
    <row r="55" spans="1:1" ht="22.8" customHeight="1" x14ac:dyDescent="0.3">
      <c r="A55" s="16"/>
    </row>
    <row r="56" spans="1:1" ht="22.8" customHeight="1" x14ac:dyDescent="0.3">
      <c r="A56" s="16"/>
    </row>
    <row r="57" spans="1:1" ht="22.8" customHeight="1" x14ac:dyDescent="0.3">
      <c r="A57" s="16"/>
    </row>
    <row r="58" spans="1:1" ht="22.8" customHeight="1" x14ac:dyDescent="0.3">
      <c r="A58" s="16"/>
    </row>
    <row r="59" spans="1:1" ht="22.8" customHeight="1" x14ac:dyDescent="0.3">
      <c r="A59" s="16"/>
    </row>
    <row r="60" spans="1:1" ht="22.8" customHeight="1" x14ac:dyDescent="0.3">
      <c r="A60" s="16"/>
    </row>
    <row r="61" spans="1:1" ht="22.8" customHeight="1" x14ac:dyDescent="0.3">
      <c r="A61" s="16"/>
    </row>
    <row r="62" spans="1:1" ht="22.8" customHeight="1" x14ac:dyDescent="0.3">
      <c r="A62" s="16"/>
    </row>
    <row r="63" spans="1:1" ht="22.8" customHeight="1" x14ac:dyDescent="0.3">
      <c r="A63" s="16"/>
    </row>
    <row r="64" spans="1:1" ht="22.8" customHeight="1" x14ac:dyDescent="0.3">
      <c r="A64" s="16"/>
    </row>
    <row r="65" spans="1:1" ht="22.8" customHeight="1" x14ac:dyDescent="0.3">
      <c r="A65" s="16"/>
    </row>
    <row r="66" spans="1:1" ht="22.8" customHeight="1" x14ac:dyDescent="0.3">
      <c r="A66" s="16"/>
    </row>
    <row r="67" spans="1:1" ht="22.8" customHeight="1" x14ac:dyDescent="0.3">
      <c r="A67" s="16"/>
    </row>
    <row r="68" spans="1:1" ht="22.8" customHeight="1" x14ac:dyDescent="0.3">
      <c r="A68" s="16"/>
    </row>
    <row r="69" spans="1:1" ht="22.8" customHeight="1" x14ac:dyDescent="0.3">
      <c r="A69" s="16"/>
    </row>
    <row r="70" spans="1:1" ht="22.8" customHeight="1" x14ac:dyDescent="0.3">
      <c r="A70" s="16"/>
    </row>
    <row r="71" spans="1:1" ht="22.8" customHeight="1" x14ac:dyDescent="0.3">
      <c r="A71" s="16"/>
    </row>
    <row r="72" spans="1:1" ht="22.8" customHeight="1" x14ac:dyDescent="0.3">
      <c r="A72" s="16"/>
    </row>
    <row r="73" spans="1:1" ht="22.8" customHeight="1" x14ac:dyDescent="0.3">
      <c r="A73" s="16"/>
    </row>
    <row r="74" spans="1:1" ht="22.8" customHeight="1" x14ac:dyDescent="0.3">
      <c r="A74" s="16"/>
    </row>
    <row r="75" spans="1:1" ht="22.8" customHeight="1" x14ac:dyDescent="0.3">
      <c r="A75" s="16"/>
    </row>
    <row r="76" spans="1:1" ht="22.8" customHeight="1" x14ac:dyDescent="0.3">
      <c r="A76" s="16"/>
    </row>
    <row r="77" spans="1:1" ht="22.8" customHeight="1" x14ac:dyDescent="0.3">
      <c r="A77" s="16"/>
    </row>
    <row r="78" spans="1:1" ht="22.8" customHeight="1" x14ac:dyDescent="0.3">
      <c r="A78" s="16"/>
    </row>
    <row r="79" spans="1:1" ht="22.8" customHeight="1" x14ac:dyDescent="0.3">
      <c r="A79" s="16"/>
    </row>
    <row r="80" spans="1:1" ht="22.8" customHeight="1" x14ac:dyDescent="0.3">
      <c r="A80" s="16"/>
    </row>
    <row r="81" spans="1:1" ht="22.8" customHeight="1" x14ac:dyDescent="0.3">
      <c r="A81" s="16"/>
    </row>
    <row r="82" spans="1:1" ht="22.8" customHeight="1" x14ac:dyDescent="0.3">
      <c r="A82" s="16"/>
    </row>
    <row r="83" spans="1:1" ht="22.8" customHeight="1" x14ac:dyDescent="0.3">
      <c r="A83" s="16"/>
    </row>
    <row r="84" spans="1:1" ht="22.8" customHeight="1" x14ac:dyDescent="0.3">
      <c r="A84" s="16"/>
    </row>
    <row r="85" spans="1:1" ht="22.8" customHeight="1" x14ac:dyDescent="0.3">
      <c r="A85" s="16"/>
    </row>
    <row r="86" spans="1:1" ht="22.8" customHeight="1" x14ac:dyDescent="0.3">
      <c r="A86" s="16"/>
    </row>
    <row r="87" spans="1:1" ht="22.8" customHeight="1" x14ac:dyDescent="0.3">
      <c r="A87" s="16"/>
    </row>
    <row r="88" spans="1:1" ht="22.8" customHeight="1" x14ac:dyDescent="0.3">
      <c r="A88" s="16"/>
    </row>
    <row r="89" spans="1:1" ht="22.8" customHeight="1" x14ac:dyDescent="0.3">
      <c r="A89" s="16"/>
    </row>
    <row r="90" spans="1:1" ht="22.8" customHeight="1" x14ac:dyDescent="0.3">
      <c r="A90" s="16"/>
    </row>
    <row r="91" spans="1:1" ht="22.8" customHeight="1" x14ac:dyDescent="0.3">
      <c r="A91" s="16"/>
    </row>
    <row r="92" spans="1:1" ht="22.8" customHeight="1" x14ac:dyDescent="0.3">
      <c r="A92" s="16"/>
    </row>
    <row r="93" spans="1:1" ht="22.8" customHeight="1" x14ac:dyDescent="0.3">
      <c r="A93" s="16"/>
    </row>
    <row r="94" spans="1:1" ht="22.8" customHeight="1" x14ac:dyDescent="0.3">
      <c r="A94" s="16"/>
    </row>
    <row r="95" spans="1:1" ht="22.8" customHeight="1" x14ac:dyDescent="0.3">
      <c r="A95" s="16"/>
    </row>
    <row r="96" spans="1:1" ht="22.8" customHeight="1" x14ac:dyDescent="0.3">
      <c r="A96" s="16"/>
    </row>
    <row r="97" spans="1:1" ht="22.8" customHeight="1" x14ac:dyDescent="0.3">
      <c r="A97" s="16"/>
    </row>
    <row r="98" spans="1:1" ht="22.8" customHeight="1" x14ac:dyDescent="0.3">
      <c r="A98" s="16"/>
    </row>
    <row r="99" spans="1:1" ht="22.8" customHeight="1" x14ac:dyDescent="0.3">
      <c r="A99" s="16"/>
    </row>
    <row r="100" spans="1:1" ht="22.8" customHeight="1" x14ac:dyDescent="0.3">
      <c r="A100" s="16"/>
    </row>
  </sheetData>
  <mergeCells count="10">
    <mergeCell ref="J5:K5"/>
    <mergeCell ref="D13:E14"/>
    <mergeCell ref="D7:G7"/>
    <mergeCell ref="F13:H14"/>
    <mergeCell ref="A2:P2"/>
    <mergeCell ref="G6:H6"/>
    <mergeCell ref="D6:E6"/>
    <mergeCell ref="D5:E5"/>
    <mergeCell ref="G5:H5"/>
    <mergeCell ref="J6:K6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Scroll Bar 2">
              <controlPr defaultSize="0" autoPict="0">
                <anchor moveWithCells="1">
                  <from>
                    <xdr:col>3</xdr:col>
                    <xdr:colOff>7620</xdr:colOff>
                    <xdr:row>7</xdr:row>
                    <xdr:rowOff>22860</xdr:rowOff>
                  </from>
                  <to>
                    <xdr:col>8</xdr:col>
                    <xdr:colOff>15240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4" name="Scroll Bar 5">
              <controlPr defaultSize="0" autoPict="0">
                <anchor moveWithCells="1">
                  <from>
                    <xdr:col>9</xdr:col>
                    <xdr:colOff>15240</xdr:colOff>
                    <xdr:row>6</xdr:row>
                    <xdr:rowOff>289560</xdr:rowOff>
                  </from>
                  <to>
                    <xdr:col>11</xdr:col>
                    <xdr:colOff>38100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906A1C3-80FD-4CE4-9716-17230FD588BF}">
          <x14:formula1>
            <xm:f>Daten!$J$16:$J$21</xm:f>
          </x14:formula1>
          <xm:sqref>G6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7BE88-E027-46E5-9708-C00A6E900389}">
  <sheetPr codeName="Tabelle7"/>
  <dimension ref="A1:O100"/>
  <sheetViews>
    <sheetView showGridLines="0" zoomScale="115" zoomScaleNormal="115" workbookViewId="0">
      <selection activeCell="I10" sqref="I10"/>
    </sheetView>
  </sheetViews>
  <sheetFormatPr baseColWidth="10" defaultRowHeight="22.8" customHeight="1" x14ac:dyDescent="0.3"/>
  <cols>
    <col min="1" max="1" width="23.109375" customWidth="1"/>
    <col min="2" max="2" width="3.33203125" customWidth="1"/>
  </cols>
  <sheetData>
    <row r="1" spans="1:15" ht="22.8" customHeight="1" x14ac:dyDescent="0.3">
      <c r="A1" s="16"/>
    </row>
    <row r="2" spans="1:15" ht="22.8" customHeight="1" x14ac:dyDescent="0.45">
      <c r="A2" s="60" t="s">
        <v>63</v>
      </c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</row>
    <row r="3" spans="1:15" ht="22.8" customHeight="1" x14ac:dyDescent="0.3">
      <c r="A3" s="16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</row>
    <row r="4" spans="1:15" ht="22.8" customHeight="1" x14ac:dyDescent="0.3">
      <c r="A4" s="16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</row>
    <row r="5" spans="1:15" ht="22.8" customHeight="1" x14ac:dyDescent="0.3">
      <c r="A5" s="16"/>
      <c r="C5" s="61"/>
      <c r="D5" s="61"/>
      <c r="E5" s="61"/>
      <c r="F5" s="61"/>
      <c r="G5" s="25"/>
      <c r="H5" s="62"/>
      <c r="I5" s="62"/>
      <c r="J5" s="62"/>
      <c r="K5" s="24"/>
      <c r="L5" s="24"/>
      <c r="M5" s="24"/>
      <c r="N5" s="24"/>
      <c r="O5" s="24"/>
    </row>
    <row r="6" spans="1:15" ht="22.8" customHeight="1" x14ac:dyDescent="0.3">
      <c r="A6" s="16"/>
      <c r="C6" s="61"/>
      <c r="D6" s="61"/>
      <c r="E6" s="61"/>
      <c r="F6" s="61"/>
      <c r="G6" s="25"/>
      <c r="H6" s="63"/>
      <c r="I6" s="63"/>
      <c r="J6" s="63"/>
      <c r="K6" s="24"/>
      <c r="L6" s="24"/>
      <c r="M6" s="24"/>
      <c r="N6" s="24"/>
      <c r="O6" s="24"/>
    </row>
    <row r="7" spans="1:15" ht="22.8" customHeight="1" x14ac:dyDescent="0.3">
      <c r="A7" s="16"/>
      <c r="C7" s="61"/>
      <c r="D7" s="61"/>
      <c r="E7" s="61"/>
      <c r="F7" s="61"/>
      <c r="G7" s="25"/>
      <c r="H7" s="26"/>
      <c r="I7" s="26"/>
      <c r="J7" s="26"/>
      <c r="K7" s="24"/>
      <c r="L7" s="24"/>
      <c r="M7" s="24"/>
      <c r="N7" s="24"/>
      <c r="O7" s="24"/>
    </row>
    <row r="8" spans="1:15" ht="22.8" customHeight="1" x14ac:dyDescent="0.3">
      <c r="A8" s="16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</row>
    <row r="9" spans="1:15" ht="22.8" customHeight="1" x14ac:dyDescent="0.3">
      <c r="A9" s="16"/>
      <c r="C9" s="24"/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</row>
    <row r="10" spans="1:15" ht="22.8" customHeight="1" x14ac:dyDescent="0.3">
      <c r="A10" s="16"/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</row>
    <row r="11" spans="1:15" ht="22.8" customHeight="1" x14ac:dyDescent="0.3">
      <c r="A11" s="16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</row>
    <row r="12" spans="1:15" ht="22.8" customHeight="1" x14ac:dyDescent="0.3">
      <c r="A12" s="16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</row>
    <row r="13" spans="1:15" ht="22.8" customHeight="1" x14ac:dyDescent="0.3">
      <c r="A13" s="16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</row>
    <row r="14" spans="1:15" ht="22.8" customHeight="1" x14ac:dyDescent="0.3">
      <c r="A14" s="16"/>
      <c r="C14" s="24"/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</row>
    <row r="15" spans="1:15" ht="22.8" customHeight="1" x14ac:dyDescent="0.3">
      <c r="A15" s="16"/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</row>
    <row r="16" spans="1:15" ht="22.8" customHeight="1" x14ac:dyDescent="0.3">
      <c r="A16" s="16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</row>
    <row r="17" spans="1:15" ht="22.8" customHeight="1" x14ac:dyDescent="0.3">
      <c r="A17" s="16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</row>
    <row r="18" spans="1:15" ht="22.8" customHeight="1" x14ac:dyDescent="0.3">
      <c r="A18" s="16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</row>
    <row r="19" spans="1:15" ht="22.8" customHeight="1" x14ac:dyDescent="0.3">
      <c r="A19" s="16"/>
    </row>
    <row r="20" spans="1:15" ht="22.8" customHeight="1" x14ac:dyDescent="0.3">
      <c r="A20" s="16"/>
    </row>
    <row r="21" spans="1:15" ht="22.8" customHeight="1" x14ac:dyDescent="0.3">
      <c r="A21" s="16"/>
    </row>
    <row r="22" spans="1:15" ht="22.8" customHeight="1" x14ac:dyDescent="0.3">
      <c r="A22" s="16"/>
    </row>
    <row r="23" spans="1:15" ht="22.8" customHeight="1" x14ac:dyDescent="0.3">
      <c r="A23" s="16"/>
    </row>
    <row r="24" spans="1:15" ht="22.8" customHeight="1" x14ac:dyDescent="0.3">
      <c r="A24" s="16"/>
    </row>
    <row r="25" spans="1:15" ht="22.8" customHeight="1" x14ac:dyDescent="0.3">
      <c r="A25" s="16"/>
    </row>
    <row r="26" spans="1:15" ht="22.8" customHeight="1" x14ac:dyDescent="0.3">
      <c r="A26" s="16"/>
    </row>
    <row r="27" spans="1:15" ht="22.8" customHeight="1" x14ac:dyDescent="0.3">
      <c r="A27" s="16"/>
    </row>
    <row r="28" spans="1:15" ht="22.8" customHeight="1" x14ac:dyDescent="0.3">
      <c r="A28" s="16"/>
    </row>
    <row r="29" spans="1:15" ht="22.8" customHeight="1" x14ac:dyDescent="0.3">
      <c r="A29" s="16"/>
    </row>
    <row r="30" spans="1:15" ht="22.8" customHeight="1" x14ac:dyDescent="0.3">
      <c r="A30" s="16"/>
    </row>
    <row r="31" spans="1:15" ht="22.8" customHeight="1" x14ac:dyDescent="0.3">
      <c r="A31" s="16"/>
    </row>
    <row r="32" spans="1:15" ht="22.8" customHeight="1" x14ac:dyDescent="0.3">
      <c r="A32" s="16"/>
    </row>
    <row r="33" spans="1:1" ht="22.8" customHeight="1" x14ac:dyDescent="0.3">
      <c r="A33" s="16"/>
    </row>
    <row r="34" spans="1:1" ht="22.8" customHeight="1" x14ac:dyDescent="0.3">
      <c r="A34" s="16"/>
    </row>
    <row r="35" spans="1:1" ht="22.8" customHeight="1" x14ac:dyDescent="0.3">
      <c r="A35" s="16"/>
    </row>
    <row r="36" spans="1:1" ht="22.8" customHeight="1" x14ac:dyDescent="0.3">
      <c r="A36" s="16"/>
    </row>
    <row r="37" spans="1:1" ht="22.8" customHeight="1" x14ac:dyDescent="0.3">
      <c r="A37" s="16"/>
    </row>
    <row r="38" spans="1:1" ht="22.8" customHeight="1" x14ac:dyDescent="0.3">
      <c r="A38" s="16"/>
    </row>
    <row r="39" spans="1:1" ht="22.8" customHeight="1" x14ac:dyDescent="0.3">
      <c r="A39" s="16"/>
    </row>
    <row r="40" spans="1:1" ht="22.8" customHeight="1" x14ac:dyDescent="0.3">
      <c r="A40" s="16"/>
    </row>
    <row r="41" spans="1:1" ht="22.8" customHeight="1" x14ac:dyDescent="0.3">
      <c r="A41" s="16"/>
    </row>
    <row r="42" spans="1:1" ht="22.8" customHeight="1" x14ac:dyDescent="0.3">
      <c r="A42" s="16"/>
    </row>
    <row r="43" spans="1:1" ht="22.8" customHeight="1" x14ac:dyDescent="0.3">
      <c r="A43" s="16"/>
    </row>
    <row r="44" spans="1:1" ht="22.8" customHeight="1" x14ac:dyDescent="0.3">
      <c r="A44" s="16"/>
    </row>
    <row r="45" spans="1:1" ht="22.8" customHeight="1" x14ac:dyDescent="0.3">
      <c r="A45" s="16"/>
    </row>
    <row r="46" spans="1:1" ht="22.8" customHeight="1" x14ac:dyDescent="0.3">
      <c r="A46" s="16"/>
    </row>
    <row r="47" spans="1:1" ht="22.8" customHeight="1" x14ac:dyDescent="0.3">
      <c r="A47" s="16"/>
    </row>
    <row r="48" spans="1:1" ht="22.8" customHeight="1" x14ac:dyDescent="0.3">
      <c r="A48" s="16"/>
    </row>
    <row r="49" spans="1:1" ht="22.8" customHeight="1" x14ac:dyDescent="0.3">
      <c r="A49" s="16"/>
    </row>
    <row r="50" spans="1:1" ht="22.8" customHeight="1" x14ac:dyDescent="0.3">
      <c r="A50" s="16"/>
    </row>
    <row r="51" spans="1:1" ht="22.8" customHeight="1" x14ac:dyDescent="0.3">
      <c r="A51" s="16"/>
    </row>
    <row r="52" spans="1:1" ht="22.8" customHeight="1" x14ac:dyDescent="0.3">
      <c r="A52" s="16"/>
    </row>
    <row r="53" spans="1:1" ht="22.8" customHeight="1" x14ac:dyDescent="0.3">
      <c r="A53" s="16"/>
    </row>
    <row r="54" spans="1:1" ht="22.8" customHeight="1" x14ac:dyDescent="0.3">
      <c r="A54" s="16"/>
    </row>
    <row r="55" spans="1:1" ht="22.8" customHeight="1" x14ac:dyDescent="0.3">
      <c r="A55" s="16"/>
    </row>
    <row r="56" spans="1:1" ht="22.8" customHeight="1" x14ac:dyDescent="0.3">
      <c r="A56" s="16"/>
    </row>
    <row r="57" spans="1:1" ht="22.8" customHeight="1" x14ac:dyDescent="0.3">
      <c r="A57" s="16"/>
    </row>
    <row r="58" spans="1:1" ht="22.8" customHeight="1" x14ac:dyDescent="0.3">
      <c r="A58" s="16"/>
    </row>
    <row r="59" spans="1:1" ht="22.8" customHeight="1" x14ac:dyDescent="0.3">
      <c r="A59" s="16"/>
    </row>
    <row r="60" spans="1:1" ht="22.8" customHeight="1" x14ac:dyDescent="0.3">
      <c r="A60" s="16"/>
    </row>
    <row r="61" spans="1:1" ht="22.8" customHeight="1" x14ac:dyDescent="0.3">
      <c r="A61" s="16"/>
    </row>
    <row r="62" spans="1:1" ht="22.8" customHeight="1" x14ac:dyDescent="0.3">
      <c r="A62" s="16"/>
    </row>
    <row r="63" spans="1:1" ht="22.8" customHeight="1" x14ac:dyDescent="0.3">
      <c r="A63" s="16"/>
    </row>
    <row r="64" spans="1:1" ht="22.8" customHeight="1" x14ac:dyDescent="0.3">
      <c r="A64" s="16"/>
    </row>
    <row r="65" spans="1:1" ht="22.8" customHeight="1" x14ac:dyDescent="0.3">
      <c r="A65" s="16"/>
    </row>
    <row r="66" spans="1:1" ht="22.8" customHeight="1" x14ac:dyDescent="0.3">
      <c r="A66" s="16"/>
    </row>
    <row r="67" spans="1:1" ht="22.8" customHeight="1" x14ac:dyDescent="0.3">
      <c r="A67" s="16"/>
    </row>
    <row r="68" spans="1:1" ht="22.8" customHeight="1" x14ac:dyDescent="0.3">
      <c r="A68" s="16"/>
    </row>
    <row r="69" spans="1:1" ht="22.8" customHeight="1" x14ac:dyDescent="0.3">
      <c r="A69" s="16"/>
    </row>
    <row r="70" spans="1:1" ht="22.8" customHeight="1" x14ac:dyDescent="0.3">
      <c r="A70" s="16"/>
    </row>
    <row r="71" spans="1:1" ht="22.8" customHeight="1" x14ac:dyDescent="0.3">
      <c r="A71" s="16"/>
    </row>
    <row r="72" spans="1:1" ht="22.8" customHeight="1" x14ac:dyDescent="0.3">
      <c r="A72" s="16"/>
    </row>
    <row r="73" spans="1:1" ht="22.8" customHeight="1" x14ac:dyDescent="0.3">
      <c r="A73" s="16"/>
    </row>
    <row r="74" spans="1:1" ht="22.8" customHeight="1" x14ac:dyDescent="0.3">
      <c r="A74" s="16"/>
    </row>
    <row r="75" spans="1:1" ht="22.8" customHeight="1" x14ac:dyDescent="0.3">
      <c r="A75" s="16"/>
    </row>
    <row r="76" spans="1:1" ht="22.8" customHeight="1" x14ac:dyDescent="0.3">
      <c r="A76" s="16"/>
    </row>
    <row r="77" spans="1:1" ht="22.8" customHeight="1" x14ac:dyDescent="0.3">
      <c r="A77" s="16"/>
    </row>
    <row r="78" spans="1:1" ht="22.8" customHeight="1" x14ac:dyDescent="0.3">
      <c r="A78" s="16"/>
    </row>
    <row r="79" spans="1:1" ht="22.8" customHeight="1" x14ac:dyDescent="0.3">
      <c r="A79" s="16"/>
    </row>
    <row r="80" spans="1:1" ht="22.8" customHeight="1" x14ac:dyDescent="0.3">
      <c r="A80" s="16"/>
    </row>
    <row r="81" spans="1:1" ht="22.8" customHeight="1" x14ac:dyDescent="0.3">
      <c r="A81" s="16"/>
    </row>
    <row r="82" spans="1:1" ht="22.8" customHeight="1" x14ac:dyDescent="0.3">
      <c r="A82" s="16"/>
    </row>
    <row r="83" spans="1:1" ht="22.8" customHeight="1" x14ac:dyDescent="0.3">
      <c r="A83" s="16"/>
    </row>
    <row r="84" spans="1:1" ht="22.8" customHeight="1" x14ac:dyDescent="0.3">
      <c r="A84" s="16"/>
    </row>
    <row r="85" spans="1:1" ht="22.8" customHeight="1" x14ac:dyDescent="0.3">
      <c r="A85" s="16"/>
    </row>
    <row r="86" spans="1:1" ht="22.8" customHeight="1" x14ac:dyDescent="0.3">
      <c r="A86" s="16"/>
    </row>
    <row r="87" spans="1:1" ht="22.8" customHeight="1" x14ac:dyDescent="0.3">
      <c r="A87" s="16"/>
    </row>
    <row r="88" spans="1:1" ht="22.8" customHeight="1" x14ac:dyDescent="0.3">
      <c r="A88" s="16"/>
    </row>
    <row r="89" spans="1:1" ht="22.8" customHeight="1" x14ac:dyDescent="0.3">
      <c r="A89" s="16"/>
    </row>
    <row r="90" spans="1:1" ht="22.8" customHeight="1" x14ac:dyDescent="0.3">
      <c r="A90" s="16"/>
    </row>
    <row r="91" spans="1:1" ht="22.8" customHeight="1" x14ac:dyDescent="0.3">
      <c r="A91" s="16"/>
    </row>
    <row r="92" spans="1:1" ht="22.8" customHeight="1" x14ac:dyDescent="0.3">
      <c r="A92" s="16"/>
    </row>
    <row r="93" spans="1:1" ht="22.8" customHeight="1" x14ac:dyDescent="0.3">
      <c r="A93" s="16"/>
    </row>
    <row r="94" spans="1:1" ht="22.8" customHeight="1" x14ac:dyDescent="0.3">
      <c r="A94" s="16"/>
    </row>
    <row r="95" spans="1:1" ht="22.8" customHeight="1" x14ac:dyDescent="0.3">
      <c r="A95" s="16"/>
    </row>
    <row r="96" spans="1:1" ht="22.8" customHeight="1" x14ac:dyDescent="0.3">
      <c r="A96" s="16"/>
    </row>
    <row r="97" spans="1:1" ht="22.8" customHeight="1" x14ac:dyDescent="0.3">
      <c r="A97" s="16"/>
    </row>
    <row r="98" spans="1:1" ht="22.8" customHeight="1" x14ac:dyDescent="0.3">
      <c r="A98" s="16"/>
    </row>
    <row r="99" spans="1:1" ht="22.8" customHeight="1" x14ac:dyDescent="0.3">
      <c r="A99" s="16"/>
    </row>
    <row r="100" spans="1:1" ht="22.8" customHeight="1" x14ac:dyDescent="0.3">
      <c r="A100" s="16"/>
    </row>
  </sheetData>
  <mergeCells count="4">
    <mergeCell ref="A2:O2"/>
    <mergeCell ref="C5:F7"/>
    <mergeCell ref="H5:J5"/>
    <mergeCell ref="H6:J6"/>
  </mergeCells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Daten</vt:lpstr>
      <vt:lpstr>Formeln</vt:lpstr>
      <vt:lpstr>Willkommen</vt:lpstr>
      <vt:lpstr>Anbieten</vt:lpstr>
      <vt:lpstr>Finanzieren</vt:lpstr>
      <vt:lpstr>Kontaktieren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2023-01-18T10:39:33Z</dcterms:modified>
</cp:coreProperties>
</file>